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jka\Documents\Arduino\Sonoff-Tamota_origin\tools\"/>
    </mc:Choice>
  </mc:AlternateContent>
  <xr:revisionPtr revIDLastSave="0" documentId="8_{396C8FD1-DDBB-46A0-B102-C7CB60A6792A}" xr6:coauthVersionLast="45" xr6:coauthVersionMax="45" xr10:uidLastSave="{00000000-0000-0000-0000-000000000000}"/>
  <bookViews>
    <workbookView xWindow="4560" yWindow="4035" windowWidth="21600" windowHeight="12735" xr2:uid="{F398ABA5-E6B0-4FA4-91A8-34860A4664AE}"/>
  </bookViews>
  <sheets>
    <sheet name="Munka1" sheetId="1" r:id="rId1"/>
    <sheet name="Munka2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3" l="1"/>
  <c r="B4" i="3" a="1"/>
  <c r="I42" i="1" a="1"/>
  <c r="I43" i="1" a="1"/>
  <c r="I44" i="1" a="1"/>
  <c r="I45" i="1" a="1"/>
  <c r="I46" i="1" a="1"/>
  <c r="I47" i="1" a="1"/>
  <c r="I48" i="1" a="1"/>
  <c r="I49" i="1" a="1"/>
  <c r="I50" i="1" a="1"/>
  <c r="I51" i="1" a="1"/>
  <c r="I52" i="1" a="1"/>
  <c r="I53" i="1" a="1"/>
  <c r="I54" i="1" a="1"/>
  <c r="I55" i="1" a="1"/>
  <c r="I56" i="1" a="1"/>
  <c r="I57" i="1" a="1"/>
  <c r="I58" i="1" a="1"/>
  <c r="I59" i="1" a="1"/>
  <c r="I60" i="1" a="1"/>
  <c r="I61" i="1" a="1"/>
  <c r="I62" i="1" a="1"/>
  <c r="I63" i="1" a="1"/>
  <c r="I64" i="1" a="1"/>
  <c r="I65" i="1" a="1"/>
  <c r="I66" i="1" a="1"/>
  <c r="I67" i="1" a="1"/>
  <c r="I68" i="1" a="1"/>
  <c r="I69" i="1" a="1"/>
  <c r="I70" i="1" a="1"/>
  <c r="I71" i="1" a="1"/>
  <c r="I72" i="1" a="1"/>
  <c r="I73" i="1" a="1"/>
  <c r="I74" i="1" a="1"/>
  <c r="I75" i="1" a="1"/>
  <c r="I76" i="1" a="1"/>
  <c r="I77" i="1" a="1"/>
  <c r="I78" i="1" a="1"/>
  <c r="I79" i="1" a="1"/>
  <c r="I80" i="1" a="1"/>
  <c r="I81" i="1" a="1"/>
  <c r="I82" i="1" a="1"/>
  <c r="I83" i="1" a="1"/>
  <c r="I84" i="1" a="1"/>
  <c r="I85" i="1" a="1"/>
  <c r="J56" i="1" a="1"/>
  <c r="J62" i="1" a="1"/>
  <c r="J64" i="1" a="1"/>
  <c r="J66" i="1" a="1"/>
  <c r="J68" i="1" a="1"/>
  <c r="J70" i="1" a="1"/>
  <c r="J72" i="1" a="1"/>
  <c r="J74" i="1" a="1"/>
  <c r="J76" i="1" a="1"/>
  <c r="J78" i="1" a="1"/>
  <c r="J80" i="1" a="1"/>
  <c r="J82" i="1" a="1"/>
  <c r="J84" i="1" a="1"/>
  <c r="J87" i="1" a="1"/>
  <c r="J89" i="1" a="1"/>
  <c r="J90" i="1" a="1"/>
  <c r="J92" i="1" a="1"/>
  <c r="J94" i="1" a="1"/>
  <c r="J97" i="1" a="1"/>
  <c r="J98" i="1" a="1"/>
  <c r="J100" i="1" a="1"/>
  <c r="J42" i="1" a="1"/>
  <c r="J43" i="1" a="1"/>
  <c r="J44" i="1" a="1"/>
  <c r="J45" i="1" a="1"/>
  <c r="J46" i="1" a="1"/>
  <c r="J47" i="1" a="1"/>
  <c r="J48" i="1" a="1"/>
  <c r="J49" i="1" a="1"/>
  <c r="J50" i="1" a="1"/>
  <c r="J51" i="1" a="1"/>
  <c r="J52" i="1" a="1"/>
  <c r="J53" i="1" a="1"/>
  <c r="J54" i="1" a="1"/>
  <c r="J55" i="1" a="1"/>
  <c r="J57" i="1" a="1"/>
  <c r="J58" i="1" a="1"/>
  <c r="J59" i="1" a="1"/>
  <c r="J60" i="1" a="1"/>
  <c r="J61" i="1" a="1"/>
  <c r="J63" i="1" a="1"/>
  <c r="J65" i="1" a="1"/>
  <c r="J67" i="1" a="1"/>
  <c r="J69" i="1" a="1"/>
  <c r="J71" i="1" a="1"/>
  <c r="J73" i="1" a="1"/>
  <c r="J75" i="1" a="1"/>
  <c r="J77" i="1" a="1"/>
  <c r="J79" i="1" a="1"/>
  <c r="J81" i="1" a="1"/>
  <c r="J83" i="1" a="1"/>
  <c r="J85" i="1" a="1"/>
  <c r="J86" i="1" a="1"/>
  <c r="J88" i="1" a="1"/>
  <c r="J91" i="1" a="1"/>
  <c r="J93" i="1" a="1"/>
  <c r="J95" i="1" a="1"/>
  <c r="J96" i="1" a="1"/>
  <c r="J99" i="1" a="1"/>
  <c r="J101" i="1" a="1"/>
  <c r="I89" i="1" a="1"/>
  <c r="I93" i="1" a="1"/>
  <c r="I97" i="1" a="1"/>
  <c r="I101" i="1" a="1"/>
  <c r="I88" i="1" a="1"/>
  <c r="I94" i="1" a="1"/>
  <c r="I96" i="1" a="1"/>
  <c r="I100" i="1" a="1"/>
  <c r="I87" i="1" a="1"/>
  <c r="I91" i="1" a="1"/>
  <c r="I95" i="1" a="1"/>
  <c r="I99" i="1" a="1"/>
  <c r="I90" i="1" a="1"/>
  <c r="I92" i="1" a="1"/>
  <c r="I98" i="1" a="1"/>
  <c r="I86" i="1" a="1"/>
  <c r="J3" i="1" a="1"/>
  <c r="J4" i="1" a="1"/>
  <c r="J5" i="1" a="1"/>
  <c r="J6" i="1" a="1"/>
  <c r="J7" i="1" a="1"/>
  <c r="J8" i="1" a="1"/>
  <c r="J9" i="1" a="1"/>
  <c r="J10" i="1" a="1"/>
  <c r="J11" i="1" a="1"/>
  <c r="J12" i="1" a="1"/>
  <c r="J13" i="1" a="1"/>
  <c r="J14" i="1" a="1"/>
  <c r="J15" i="1" a="1"/>
  <c r="J16" i="1" a="1"/>
  <c r="J17" i="1" a="1"/>
  <c r="J18" i="1" a="1"/>
  <c r="J19" i="1" a="1"/>
  <c r="J20" i="1" a="1"/>
  <c r="J21" i="1" a="1"/>
  <c r="I3" i="1" a="1"/>
  <c r="I5" i="1" a="1"/>
  <c r="I7" i="1" a="1"/>
  <c r="I9" i="1" a="1"/>
  <c r="I11" i="1" a="1"/>
  <c r="I13" i="1" a="1"/>
  <c r="I15" i="1" a="1"/>
  <c r="I17" i="1" a="1"/>
  <c r="I19" i="1" a="1"/>
  <c r="I21" i="1" a="1"/>
  <c r="I24" i="1" a="1"/>
  <c r="J25" i="1" a="1"/>
  <c r="I28" i="1" a="1"/>
  <c r="J29" i="1" a="1"/>
  <c r="I32" i="1" a="1"/>
  <c r="J33" i="1" a="1"/>
  <c r="I36" i="1" a="1"/>
  <c r="J37" i="1" a="1"/>
  <c r="I40" i="1" a="1"/>
  <c r="J41" i="1" a="1"/>
  <c r="I23" i="1" a="1"/>
  <c r="J24" i="1" a="1"/>
  <c r="I27" i="1" a="1"/>
  <c r="J28" i="1" a="1"/>
  <c r="I31" i="1" a="1"/>
  <c r="J32" i="1" a="1"/>
  <c r="I35" i="1" a="1"/>
  <c r="J36" i="1" a="1"/>
  <c r="I39" i="1" a="1"/>
  <c r="J40" i="1" a="1"/>
  <c r="I25" i="1" a="1"/>
  <c r="I29" i="1" a="1"/>
  <c r="J34" i="1" a="1"/>
  <c r="I37" i="1" a="1"/>
  <c r="I4" i="1" a="1"/>
  <c r="I6" i="1" a="1"/>
  <c r="I8" i="1" a="1"/>
  <c r="I10" i="1" a="1"/>
  <c r="I12" i="1" a="1"/>
  <c r="I14" i="1" a="1"/>
  <c r="I16" i="1" a="1"/>
  <c r="I18" i="1" a="1"/>
  <c r="I20" i="1" a="1"/>
  <c r="I22" i="1" a="1"/>
  <c r="J23" i="1" a="1"/>
  <c r="I26" i="1" a="1"/>
  <c r="J27" i="1" a="1"/>
  <c r="I30" i="1" a="1"/>
  <c r="J31" i="1" a="1"/>
  <c r="I34" i="1" a="1"/>
  <c r="J35" i="1" a="1"/>
  <c r="I38" i="1" a="1"/>
  <c r="J39" i="1" a="1"/>
  <c r="J22" i="1" a="1"/>
  <c r="J26" i="1" a="1"/>
  <c r="J30" i="1" a="1"/>
  <c r="I33" i="1" a="1"/>
  <c r="J38" i="1" a="1"/>
  <c r="I41" i="1" a="1"/>
  <c r="I2" i="1" a="1"/>
  <c r="J2" i="1" a="1"/>
  <c r="B3" i="1" a="1"/>
  <c r="B4" i="1" a="1"/>
  <c r="B5" i="1" a="1"/>
  <c r="B6" i="1" a="1"/>
  <c r="B7" i="1" a="1"/>
  <c r="B8" i="1" a="1"/>
  <c r="B9" i="1" a="1"/>
  <c r="B10" i="1" a="1"/>
  <c r="B11" i="1" a="1"/>
  <c r="B12" i="1" a="1"/>
  <c r="B13" i="1" a="1"/>
  <c r="B14" i="1" a="1"/>
  <c r="B15" i="1" a="1"/>
  <c r="B16" i="1" a="1"/>
  <c r="B17" i="1" a="1"/>
  <c r="B18" i="1" a="1"/>
  <c r="B19" i="1" a="1"/>
  <c r="B20" i="1" a="1"/>
  <c r="B21" i="1" a="1"/>
  <c r="B22" i="1" a="1"/>
  <c r="B23" i="1" a="1"/>
  <c r="B24" i="1" a="1"/>
  <c r="B25" i="1" a="1"/>
  <c r="B26" i="1" a="1"/>
  <c r="B27" i="1" a="1"/>
  <c r="B28" i="1" a="1"/>
  <c r="B29" i="1" a="1"/>
  <c r="B30" i="1" a="1"/>
  <c r="B31" i="1" a="1"/>
  <c r="B32" i="1" a="1"/>
  <c r="B33" i="1" a="1"/>
  <c r="B34" i="1" a="1"/>
  <c r="B35" i="1" a="1"/>
  <c r="C3" i="1" a="1"/>
  <c r="C4" i="1" a="1"/>
  <c r="C5" i="1" a="1"/>
  <c r="C6" i="1" a="1"/>
  <c r="C7" i="1" a="1"/>
  <c r="C8" i="1" a="1"/>
  <c r="C9" i="1" a="1"/>
  <c r="C10" i="1" a="1"/>
  <c r="C11" i="1" a="1"/>
  <c r="C12" i="1" a="1"/>
  <c r="C13" i="1" a="1"/>
  <c r="C14" i="1" a="1"/>
  <c r="C15" i="1" a="1"/>
  <c r="C16" i="1" a="1"/>
  <c r="C17" i="1" a="1"/>
  <c r="C18" i="1" a="1"/>
  <c r="C19" i="1" a="1"/>
  <c r="C20" i="1" a="1"/>
  <c r="C21" i="1" a="1"/>
  <c r="C22" i="1" a="1"/>
  <c r="C23" i="1" a="1"/>
  <c r="C24" i="1" a="1"/>
  <c r="C25" i="1" a="1"/>
  <c r="C26" i="1" a="1"/>
  <c r="C27" i="1" a="1"/>
  <c r="C28" i="1" a="1"/>
  <c r="C29" i="1" a="1"/>
  <c r="C30" i="1" a="1"/>
  <c r="C31" i="1" a="1"/>
  <c r="C32" i="1" a="1"/>
  <c r="C36" i="1" a="1"/>
  <c r="B39" i="1" a="1"/>
  <c r="C40" i="1" a="1"/>
  <c r="B43" i="1" a="1"/>
  <c r="C44" i="1" a="1"/>
  <c r="B47" i="1" a="1"/>
  <c r="C48" i="1" a="1"/>
  <c r="B51" i="1" a="1"/>
  <c r="C52" i="1" a="1"/>
  <c r="B55" i="1" a="1"/>
  <c r="C56" i="1" a="1"/>
  <c r="B59" i="1" a="1"/>
  <c r="C60" i="1" a="1"/>
  <c r="B63" i="1" a="1"/>
  <c r="C64" i="1" a="1"/>
  <c r="B67" i="1" a="1"/>
  <c r="C68" i="1" a="1"/>
  <c r="B71" i="1" a="1"/>
  <c r="C72" i="1" a="1"/>
  <c r="B75" i="1" a="1"/>
  <c r="C76" i="1" a="1"/>
  <c r="B79" i="1" a="1"/>
  <c r="C80" i="1" a="1"/>
  <c r="B83" i="1" a="1"/>
  <c r="C84" i="1" a="1"/>
  <c r="B87" i="1" a="1"/>
  <c r="C79" i="1" a="1"/>
  <c r="B82" i="1" a="1"/>
  <c r="C83" i="1" a="1"/>
  <c r="C87" i="1" a="1"/>
  <c r="C88" i="1" a="1"/>
  <c r="C90" i="1" a="1"/>
  <c r="C92" i="1" a="1"/>
  <c r="C94" i="1" a="1"/>
  <c r="C96" i="1" a="1"/>
  <c r="C98" i="1" a="1"/>
  <c r="C101" i="1" a="1"/>
  <c r="C38" i="1" a="1"/>
  <c r="B41" i="1" a="1"/>
  <c r="B45" i="1" a="1"/>
  <c r="C50" i="1" a="1"/>
  <c r="B53" i="1" a="1"/>
  <c r="C58" i="1" a="1"/>
  <c r="C62" i="1" a="1"/>
  <c r="B65" i="1" a="1"/>
  <c r="B69" i="1" a="1"/>
  <c r="C74" i="1" a="1"/>
  <c r="B77" i="1" a="1"/>
  <c r="C82" i="1" a="1"/>
  <c r="B85" i="1" a="1"/>
  <c r="C34" i="1" a="1"/>
  <c r="C37" i="1" a="1"/>
  <c r="C41" i="1" a="1"/>
  <c r="C45" i="1" a="1"/>
  <c r="B48" i="1" a="1"/>
  <c r="C53" i="1" a="1"/>
  <c r="B56" i="1" a="1"/>
  <c r="B60" i="1" a="1"/>
  <c r="C65" i="1" a="1"/>
  <c r="B68" i="1" a="1"/>
  <c r="B72" i="1" a="1"/>
  <c r="C77" i="1" a="1"/>
  <c r="B80" i="1" a="1"/>
  <c r="C85" i="1" a="1"/>
  <c r="C33" i="1" a="1"/>
  <c r="C35" i="1" a="1"/>
  <c r="B38" i="1" a="1"/>
  <c r="C39" i="1" a="1"/>
  <c r="B42" i="1" a="1"/>
  <c r="C43" i="1" a="1"/>
  <c r="B46" i="1" a="1"/>
  <c r="C47" i="1" a="1"/>
  <c r="B50" i="1" a="1"/>
  <c r="C51" i="1" a="1"/>
  <c r="B54" i="1" a="1"/>
  <c r="C55" i="1" a="1"/>
  <c r="B58" i="1" a="1"/>
  <c r="C59" i="1" a="1"/>
  <c r="B62" i="1" a="1"/>
  <c r="C63" i="1" a="1"/>
  <c r="B66" i="1" a="1"/>
  <c r="C67" i="1" a="1"/>
  <c r="B70" i="1" a="1"/>
  <c r="C71" i="1" a="1"/>
  <c r="B74" i="1" a="1"/>
  <c r="C75" i="1" a="1"/>
  <c r="B78" i="1" a="1"/>
  <c r="B86" i="1" a="1"/>
  <c r="C89" i="1" a="1"/>
  <c r="C91" i="1" a="1"/>
  <c r="C93" i="1" a="1"/>
  <c r="C95" i="1" a="1"/>
  <c r="C97" i="1" a="1"/>
  <c r="C99" i="1" a="1"/>
  <c r="C100" i="1" a="1"/>
  <c r="B37" i="1" a="1"/>
  <c r="C42" i="1" a="1"/>
  <c r="C46" i="1" a="1"/>
  <c r="B49" i="1" a="1"/>
  <c r="C54" i="1" a="1"/>
  <c r="B57" i="1" a="1"/>
  <c r="B61" i="1" a="1"/>
  <c r="C66" i="1" a="1"/>
  <c r="C70" i="1" a="1"/>
  <c r="B73" i="1" a="1"/>
  <c r="C78" i="1" a="1"/>
  <c r="B81" i="1" a="1"/>
  <c r="C86" i="1" a="1"/>
  <c r="B36" i="1" a="1"/>
  <c r="B40" i="1" a="1"/>
  <c r="B44" i="1" a="1"/>
  <c r="C49" i="1" a="1"/>
  <c r="B52" i="1" a="1"/>
  <c r="C57" i="1" a="1"/>
  <c r="C61" i="1" a="1"/>
  <c r="B64" i="1" a="1"/>
  <c r="C69" i="1" a="1"/>
  <c r="C73" i="1" a="1"/>
  <c r="B76" i="1" a="1"/>
  <c r="C81" i="1" a="1"/>
  <c r="B84" i="1" a="1"/>
  <c r="B88" i="1" a="1"/>
  <c r="B92" i="1" a="1"/>
  <c r="B96" i="1" a="1"/>
  <c r="B100" i="1" a="1"/>
  <c r="B101" i="1" a="1"/>
  <c r="B98" i="1" a="1"/>
  <c r="B95" i="1" a="1"/>
  <c r="B89" i="1" a="1"/>
  <c r="B93" i="1" a="1"/>
  <c r="B97" i="1" a="1"/>
  <c r="B94" i="1" a="1"/>
  <c r="B91" i="1" a="1"/>
  <c r="B99" i="1" a="1"/>
  <c r="B90" i="1" a="1"/>
  <c r="C2" i="1" a="1"/>
  <c r="B2" i="1" a="1"/>
  <c r="B4" i="3" l="1"/>
  <c r="B5" i="3"/>
  <c r="I86" i="1"/>
  <c r="I98" i="1"/>
  <c r="I92" i="1"/>
  <c r="K92" i="1" s="1"/>
  <c r="I90" i="1"/>
  <c r="K90" i="1" s="1"/>
  <c r="I99" i="1"/>
  <c r="I95" i="1"/>
  <c r="I91" i="1"/>
  <c r="K91" i="1" s="1"/>
  <c r="I87" i="1"/>
  <c r="K87" i="1" s="1"/>
  <c r="I100" i="1"/>
  <c r="I96" i="1"/>
  <c r="I94" i="1"/>
  <c r="K94" i="1" s="1"/>
  <c r="I88" i="1"/>
  <c r="K88" i="1" s="1"/>
  <c r="I101" i="1"/>
  <c r="I97" i="1"/>
  <c r="I93" i="1"/>
  <c r="K93" i="1" s="1"/>
  <c r="I89" i="1"/>
  <c r="K89" i="1" s="1"/>
  <c r="J101" i="1"/>
  <c r="J99" i="1"/>
  <c r="J96" i="1"/>
  <c r="L96" i="1" s="1"/>
  <c r="J95" i="1"/>
  <c r="L95" i="1" s="1"/>
  <c r="J93" i="1"/>
  <c r="J91" i="1"/>
  <c r="J88" i="1"/>
  <c r="L88" i="1" s="1"/>
  <c r="J86" i="1"/>
  <c r="L86" i="1" s="1"/>
  <c r="J85" i="1"/>
  <c r="J83" i="1"/>
  <c r="J81" i="1"/>
  <c r="L81" i="1" s="1"/>
  <c r="J79" i="1"/>
  <c r="L79" i="1" s="1"/>
  <c r="J77" i="1"/>
  <c r="J75" i="1"/>
  <c r="J73" i="1"/>
  <c r="L73" i="1" s="1"/>
  <c r="J71" i="1"/>
  <c r="L71" i="1" s="1"/>
  <c r="J69" i="1"/>
  <c r="J67" i="1"/>
  <c r="J65" i="1"/>
  <c r="L65" i="1" s="1"/>
  <c r="J63" i="1"/>
  <c r="L63" i="1" s="1"/>
  <c r="J61" i="1"/>
  <c r="J60" i="1"/>
  <c r="J59" i="1"/>
  <c r="J58" i="1"/>
  <c r="L58" i="1" s="1"/>
  <c r="J57" i="1"/>
  <c r="J55" i="1"/>
  <c r="J54" i="1"/>
  <c r="L54" i="1" s="1"/>
  <c r="J53" i="1"/>
  <c r="L53" i="1" s="1"/>
  <c r="J52" i="1"/>
  <c r="J51" i="1"/>
  <c r="J50" i="1"/>
  <c r="L50" i="1" s="1"/>
  <c r="J49" i="1"/>
  <c r="L49" i="1" s="1"/>
  <c r="J48" i="1"/>
  <c r="J47" i="1"/>
  <c r="J46" i="1"/>
  <c r="L46" i="1" s="1"/>
  <c r="J45" i="1"/>
  <c r="L45" i="1" s="1"/>
  <c r="J44" i="1"/>
  <c r="J43" i="1"/>
  <c r="J42" i="1"/>
  <c r="L42" i="1" s="1"/>
  <c r="J100" i="1"/>
  <c r="L100" i="1" s="1"/>
  <c r="J98" i="1"/>
  <c r="J97" i="1"/>
  <c r="J94" i="1"/>
  <c r="L94" i="1" s="1"/>
  <c r="J92" i="1"/>
  <c r="J90" i="1"/>
  <c r="J89" i="1"/>
  <c r="J87" i="1"/>
  <c r="J84" i="1"/>
  <c r="L84" i="1" s="1"/>
  <c r="J82" i="1"/>
  <c r="J80" i="1"/>
  <c r="J78" i="1"/>
  <c r="J76" i="1"/>
  <c r="L76" i="1" s="1"/>
  <c r="J74" i="1"/>
  <c r="J72" i="1"/>
  <c r="J70" i="1"/>
  <c r="L70" i="1" s="1"/>
  <c r="J68" i="1"/>
  <c r="L68" i="1" s="1"/>
  <c r="J66" i="1"/>
  <c r="J64" i="1"/>
  <c r="J62" i="1"/>
  <c r="J56" i="1"/>
  <c r="L56" i="1" s="1"/>
  <c r="I85" i="1"/>
  <c r="I84" i="1"/>
  <c r="I83" i="1"/>
  <c r="K83" i="1" s="1"/>
  <c r="I82" i="1"/>
  <c r="K82" i="1" s="1"/>
  <c r="I81" i="1"/>
  <c r="I80" i="1"/>
  <c r="I79" i="1"/>
  <c r="K79" i="1" s="1"/>
  <c r="I78" i="1"/>
  <c r="K78" i="1" s="1"/>
  <c r="I77" i="1"/>
  <c r="I76" i="1"/>
  <c r="I75" i="1"/>
  <c r="K75" i="1" s="1"/>
  <c r="I74" i="1"/>
  <c r="K74" i="1" s="1"/>
  <c r="I73" i="1"/>
  <c r="I72" i="1"/>
  <c r="I71" i="1"/>
  <c r="K71" i="1" s="1"/>
  <c r="I70" i="1"/>
  <c r="K70" i="1" s="1"/>
  <c r="I69" i="1"/>
  <c r="I68" i="1"/>
  <c r="I67" i="1"/>
  <c r="I66" i="1"/>
  <c r="K66" i="1" s="1"/>
  <c r="I65" i="1"/>
  <c r="I64" i="1"/>
  <c r="I63" i="1"/>
  <c r="K63" i="1" s="1"/>
  <c r="I62" i="1"/>
  <c r="K62" i="1" s="1"/>
  <c r="I61" i="1"/>
  <c r="I60" i="1"/>
  <c r="I59" i="1"/>
  <c r="K59" i="1" s="1"/>
  <c r="I58" i="1"/>
  <c r="K58" i="1" s="1"/>
  <c r="I57" i="1"/>
  <c r="I56" i="1"/>
  <c r="I55" i="1"/>
  <c r="K55" i="1" s="1"/>
  <c r="I54" i="1"/>
  <c r="K54" i="1" s="1"/>
  <c r="I53" i="1"/>
  <c r="I52" i="1"/>
  <c r="I51" i="1"/>
  <c r="K51" i="1" s="1"/>
  <c r="I50" i="1"/>
  <c r="K50" i="1" s="1"/>
  <c r="I49" i="1"/>
  <c r="I48" i="1"/>
  <c r="I47" i="1"/>
  <c r="I46" i="1"/>
  <c r="K46" i="1" s="1"/>
  <c r="I45" i="1"/>
  <c r="I44" i="1"/>
  <c r="I43" i="1"/>
  <c r="K43" i="1" s="1"/>
  <c r="I42" i="1"/>
  <c r="K42" i="1" s="1"/>
  <c r="K49" i="1"/>
  <c r="I41" i="1"/>
  <c r="J38" i="1"/>
  <c r="L38" i="1" s="1"/>
  <c r="I33" i="1"/>
  <c r="K33" i="1" s="1"/>
  <c r="J30" i="1"/>
  <c r="J26" i="1"/>
  <c r="J22" i="1"/>
  <c r="L22" i="1" s="1"/>
  <c r="L92" i="1"/>
  <c r="L75" i="1"/>
  <c r="L67" i="1"/>
  <c r="L59" i="1"/>
  <c r="L51" i="1"/>
  <c r="L43" i="1"/>
  <c r="J39" i="1"/>
  <c r="I38" i="1"/>
  <c r="K38" i="1" s="1"/>
  <c r="J35" i="1"/>
  <c r="L35" i="1" s="1"/>
  <c r="I34" i="1"/>
  <c r="J31" i="1"/>
  <c r="I30" i="1"/>
  <c r="K30" i="1" s="1"/>
  <c r="J27" i="1"/>
  <c r="L27" i="1" s="1"/>
  <c r="I26" i="1"/>
  <c r="J23" i="1"/>
  <c r="I22" i="1"/>
  <c r="K22" i="1" s="1"/>
  <c r="I20" i="1"/>
  <c r="K20" i="1" s="1"/>
  <c r="I18" i="1"/>
  <c r="I16" i="1"/>
  <c r="I14" i="1"/>
  <c r="K14" i="1" s="1"/>
  <c r="I12" i="1"/>
  <c r="K12" i="1" s="1"/>
  <c r="I10" i="1"/>
  <c r="I8" i="1"/>
  <c r="I6" i="1"/>
  <c r="K6" i="1" s="1"/>
  <c r="I4" i="1"/>
  <c r="K4" i="1" s="1"/>
  <c r="K69" i="1"/>
  <c r="I37" i="1"/>
  <c r="J34" i="1"/>
  <c r="L34" i="1" s="1"/>
  <c r="I29" i="1"/>
  <c r="K29" i="1" s="1"/>
  <c r="I25" i="1"/>
  <c r="L91" i="1"/>
  <c r="L60" i="1"/>
  <c r="L52" i="1"/>
  <c r="J40" i="1"/>
  <c r="I39" i="1"/>
  <c r="J36" i="1"/>
  <c r="L36" i="1" s="1"/>
  <c r="I35" i="1"/>
  <c r="K35" i="1" s="1"/>
  <c r="J32" i="1"/>
  <c r="I31" i="1"/>
  <c r="J28" i="1"/>
  <c r="L28" i="1" s="1"/>
  <c r="I27" i="1"/>
  <c r="K27" i="1" s="1"/>
  <c r="J24" i="1"/>
  <c r="I23" i="1"/>
  <c r="K23" i="1" s="1"/>
  <c r="L78" i="1"/>
  <c r="K97" i="1"/>
  <c r="L57" i="1"/>
  <c r="J41" i="1"/>
  <c r="L41" i="1" s="1"/>
  <c r="I40" i="1"/>
  <c r="K40" i="1" s="1"/>
  <c r="J37" i="1"/>
  <c r="L37" i="1" s="1"/>
  <c r="I36" i="1"/>
  <c r="K36" i="1" s="1"/>
  <c r="J33" i="1"/>
  <c r="L33" i="1" s="1"/>
  <c r="I32" i="1"/>
  <c r="K32" i="1" s="1"/>
  <c r="J29" i="1"/>
  <c r="L29" i="1" s="1"/>
  <c r="I28" i="1"/>
  <c r="K28" i="1" s="1"/>
  <c r="J25" i="1"/>
  <c r="L25" i="1" s="1"/>
  <c r="I24" i="1"/>
  <c r="K24" i="1" s="1"/>
  <c r="I21" i="1"/>
  <c r="K21" i="1" s="1"/>
  <c r="I19" i="1"/>
  <c r="K19" i="1" s="1"/>
  <c r="I17" i="1"/>
  <c r="K17" i="1" s="1"/>
  <c r="I15" i="1"/>
  <c r="K15" i="1" s="1"/>
  <c r="I13" i="1"/>
  <c r="K13" i="1" s="1"/>
  <c r="I11" i="1"/>
  <c r="K11" i="1" s="1"/>
  <c r="I9" i="1"/>
  <c r="I7" i="1"/>
  <c r="K7" i="1" s="1"/>
  <c r="I5" i="1"/>
  <c r="K5" i="1" s="1"/>
  <c r="I3" i="1"/>
  <c r="K3" i="1" s="1"/>
  <c r="J21" i="1"/>
  <c r="L21" i="1" s="1"/>
  <c r="J20" i="1"/>
  <c r="L20" i="1" s="1"/>
  <c r="J19" i="1"/>
  <c r="L19" i="1" s="1"/>
  <c r="J18" i="1"/>
  <c r="L18" i="1" s="1"/>
  <c r="J17" i="1"/>
  <c r="L17" i="1" s="1"/>
  <c r="J16" i="1"/>
  <c r="L16" i="1" s="1"/>
  <c r="J15" i="1"/>
  <c r="L15" i="1" s="1"/>
  <c r="J14" i="1"/>
  <c r="J13" i="1"/>
  <c r="L13" i="1" s="1"/>
  <c r="J12" i="1"/>
  <c r="L12" i="1" s="1"/>
  <c r="J11" i="1"/>
  <c r="L11" i="1" s="1"/>
  <c r="J10" i="1"/>
  <c r="L10" i="1" s="1"/>
  <c r="J9" i="1"/>
  <c r="L9" i="1" s="1"/>
  <c r="J8" i="1"/>
  <c r="L8" i="1" s="1"/>
  <c r="J7" i="1"/>
  <c r="L7" i="1" s="1"/>
  <c r="J6" i="1"/>
  <c r="L6" i="1" s="1"/>
  <c r="J5" i="1"/>
  <c r="L5" i="1" s="1"/>
  <c r="J4" i="1"/>
  <c r="L4" i="1" s="1"/>
  <c r="J3" i="1"/>
  <c r="L89" i="1"/>
  <c r="L40" i="1"/>
  <c r="K100" i="1"/>
  <c r="K96" i="1"/>
  <c r="K95" i="1"/>
  <c r="L85" i="1"/>
  <c r="L77" i="1"/>
  <c r="L69" i="1"/>
  <c r="K64" i="1"/>
  <c r="L61" i="1"/>
  <c r="L97" i="1"/>
  <c r="L72" i="1"/>
  <c r="K39" i="1"/>
  <c r="K101" i="1"/>
  <c r="K85" i="1"/>
  <c r="L82" i="1"/>
  <c r="K77" i="1"/>
  <c r="L66" i="1"/>
  <c r="K61" i="1"/>
  <c r="K45" i="1"/>
  <c r="K37" i="1"/>
  <c r="L26" i="1"/>
  <c r="L93" i="1"/>
  <c r="L83" i="1"/>
  <c r="L55" i="1"/>
  <c r="L47" i="1"/>
  <c r="L24" i="1"/>
  <c r="L14" i="1"/>
  <c r="L3" i="1"/>
  <c r="K25" i="1"/>
  <c r="K18" i="1"/>
  <c r="K10" i="1"/>
  <c r="K9" i="1"/>
  <c r="K72" i="1"/>
  <c r="L101" i="1"/>
  <c r="L39" i="1"/>
  <c r="L31" i="1"/>
  <c r="K86" i="1"/>
  <c r="L44" i="1"/>
  <c r="K76" i="1"/>
  <c r="K52" i="1"/>
  <c r="K81" i="1"/>
  <c r="K73" i="1"/>
  <c r="L99" i="1"/>
  <c r="K67" i="1"/>
  <c r="K68" i="1"/>
  <c r="L74" i="1"/>
  <c r="L98" i="1"/>
  <c r="K80" i="1"/>
  <c r="K84" i="1"/>
  <c r="K99" i="1"/>
  <c r="L90" i="1"/>
  <c r="L87" i="1"/>
  <c r="K98" i="1"/>
  <c r="L80" i="1"/>
  <c r="L64" i="1"/>
  <c r="L62" i="1"/>
  <c r="K65" i="1"/>
  <c r="K60" i="1"/>
  <c r="L48" i="1"/>
  <c r="L32" i="1"/>
  <c r="L30" i="1"/>
  <c r="L23" i="1"/>
  <c r="K57" i="1"/>
  <c r="K56" i="1"/>
  <c r="K53" i="1"/>
  <c r="K48" i="1"/>
  <c r="K47" i="1"/>
  <c r="K44" i="1"/>
  <c r="K41" i="1"/>
  <c r="K34" i="1"/>
  <c r="K31" i="1"/>
  <c r="K26" i="1"/>
  <c r="K16" i="1"/>
  <c r="K8" i="1"/>
  <c r="I2" i="1"/>
  <c r="K2" i="1" s="1"/>
  <c r="J2" i="1"/>
  <c r="L2" i="1" s="1"/>
  <c r="B90" i="1"/>
  <c r="D90" i="1" s="1"/>
  <c r="B99" i="1"/>
  <c r="D99" i="1" s="1"/>
  <c r="B91" i="1"/>
  <c r="D91" i="1" s="1"/>
  <c r="B94" i="1"/>
  <c r="D94" i="1" s="1"/>
  <c r="B97" i="1"/>
  <c r="D97" i="1" s="1"/>
  <c r="B93" i="1"/>
  <c r="D93" i="1" s="1"/>
  <c r="B89" i="1"/>
  <c r="D89" i="1" s="1"/>
  <c r="B95" i="1"/>
  <c r="D95" i="1" s="1"/>
  <c r="B98" i="1"/>
  <c r="D98" i="1" s="1"/>
  <c r="B101" i="1"/>
  <c r="D101" i="1" s="1"/>
  <c r="B100" i="1"/>
  <c r="D100" i="1" s="1"/>
  <c r="B96" i="1"/>
  <c r="D96" i="1" s="1"/>
  <c r="B92" i="1"/>
  <c r="D92" i="1" s="1"/>
  <c r="B88" i="1"/>
  <c r="D88" i="1" s="1"/>
  <c r="B84" i="1"/>
  <c r="D84" i="1" s="1"/>
  <c r="C81" i="1"/>
  <c r="E81" i="1" s="1"/>
  <c r="B76" i="1"/>
  <c r="D76" i="1" s="1"/>
  <c r="C73" i="1"/>
  <c r="E73" i="1" s="1"/>
  <c r="C69" i="1"/>
  <c r="E69" i="1" s="1"/>
  <c r="B64" i="1"/>
  <c r="D64" i="1" s="1"/>
  <c r="C61" i="1"/>
  <c r="E61" i="1" s="1"/>
  <c r="C57" i="1"/>
  <c r="E57" i="1" s="1"/>
  <c r="B52" i="1"/>
  <c r="D52" i="1" s="1"/>
  <c r="C49" i="1"/>
  <c r="E49" i="1" s="1"/>
  <c r="B44" i="1"/>
  <c r="D44" i="1" s="1"/>
  <c r="B40" i="1"/>
  <c r="D40" i="1" s="1"/>
  <c r="B36" i="1"/>
  <c r="D36" i="1" s="1"/>
  <c r="C86" i="1"/>
  <c r="E86" i="1" s="1"/>
  <c r="B81" i="1"/>
  <c r="D81" i="1" s="1"/>
  <c r="C78" i="1"/>
  <c r="E78" i="1" s="1"/>
  <c r="B73" i="1"/>
  <c r="D73" i="1" s="1"/>
  <c r="C70" i="1"/>
  <c r="E70" i="1" s="1"/>
  <c r="C66" i="1"/>
  <c r="E66" i="1" s="1"/>
  <c r="B61" i="1"/>
  <c r="D61" i="1" s="1"/>
  <c r="B57" i="1"/>
  <c r="D57" i="1" s="1"/>
  <c r="C54" i="1"/>
  <c r="E54" i="1" s="1"/>
  <c r="B49" i="1"/>
  <c r="D49" i="1" s="1"/>
  <c r="C46" i="1"/>
  <c r="E46" i="1" s="1"/>
  <c r="C42" i="1"/>
  <c r="E42" i="1" s="1"/>
  <c r="B37" i="1"/>
  <c r="D37" i="1" s="1"/>
  <c r="C100" i="1"/>
  <c r="E100" i="1" s="1"/>
  <c r="C99" i="1"/>
  <c r="E99" i="1" s="1"/>
  <c r="C97" i="1"/>
  <c r="E97" i="1" s="1"/>
  <c r="C95" i="1"/>
  <c r="E95" i="1" s="1"/>
  <c r="C93" i="1"/>
  <c r="E93" i="1" s="1"/>
  <c r="C91" i="1"/>
  <c r="E91" i="1" s="1"/>
  <c r="C89" i="1"/>
  <c r="E89" i="1" s="1"/>
  <c r="B86" i="1"/>
  <c r="D86" i="1" s="1"/>
  <c r="B78" i="1"/>
  <c r="D78" i="1" s="1"/>
  <c r="C75" i="1"/>
  <c r="E75" i="1" s="1"/>
  <c r="B74" i="1"/>
  <c r="D74" i="1" s="1"/>
  <c r="C71" i="1"/>
  <c r="E71" i="1" s="1"/>
  <c r="B70" i="1"/>
  <c r="D70" i="1" s="1"/>
  <c r="C67" i="1"/>
  <c r="E67" i="1" s="1"/>
  <c r="B66" i="1"/>
  <c r="D66" i="1" s="1"/>
  <c r="C63" i="1"/>
  <c r="E63" i="1" s="1"/>
  <c r="B62" i="1"/>
  <c r="D62" i="1" s="1"/>
  <c r="C59" i="1"/>
  <c r="E59" i="1" s="1"/>
  <c r="B58" i="1"/>
  <c r="D58" i="1" s="1"/>
  <c r="C55" i="1"/>
  <c r="E55" i="1" s="1"/>
  <c r="B54" i="1"/>
  <c r="D54" i="1" s="1"/>
  <c r="C51" i="1"/>
  <c r="E51" i="1" s="1"/>
  <c r="B50" i="1"/>
  <c r="D50" i="1" s="1"/>
  <c r="C47" i="1"/>
  <c r="E47" i="1" s="1"/>
  <c r="B46" i="1"/>
  <c r="D46" i="1" s="1"/>
  <c r="C43" i="1"/>
  <c r="E43" i="1" s="1"/>
  <c r="B42" i="1"/>
  <c r="D42" i="1" s="1"/>
  <c r="C39" i="1"/>
  <c r="E39" i="1" s="1"/>
  <c r="B38" i="1"/>
  <c r="D38" i="1" s="1"/>
  <c r="C35" i="1"/>
  <c r="E35" i="1" s="1"/>
  <c r="C33" i="1"/>
  <c r="E33" i="1" s="1"/>
  <c r="C85" i="1"/>
  <c r="E85" i="1" s="1"/>
  <c r="B80" i="1"/>
  <c r="D80" i="1" s="1"/>
  <c r="C77" i="1"/>
  <c r="E77" i="1" s="1"/>
  <c r="B72" i="1"/>
  <c r="D72" i="1" s="1"/>
  <c r="B68" i="1"/>
  <c r="D68" i="1" s="1"/>
  <c r="C65" i="1"/>
  <c r="E65" i="1" s="1"/>
  <c r="B60" i="1"/>
  <c r="D60" i="1" s="1"/>
  <c r="B56" i="1"/>
  <c r="D56" i="1" s="1"/>
  <c r="C53" i="1"/>
  <c r="E53" i="1" s="1"/>
  <c r="B48" i="1"/>
  <c r="D48" i="1" s="1"/>
  <c r="C45" i="1"/>
  <c r="E45" i="1" s="1"/>
  <c r="C41" i="1"/>
  <c r="E41" i="1" s="1"/>
  <c r="C37" i="1"/>
  <c r="E37" i="1" s="1"/>
  <c r="C34" i="1"/>
  <c r="E34" i="1" s="1"/>
  <c r="B85" i="1"/>
  <c r="D85" i="1" s="1"/>
  <c r="C82" i="1"/>
  <c r="E82" i="1" s="1"/>
  <c r="B77" i="1"/>
  <c r="D77" i="1" s="1"/>
  <c r="C74" i="1"/>
  <c r="E74" i="1" s="1"/>
  <c r="B69" i="1"/>
  <c r="D69" i="1" s="1"/>
  <c r="B65" i="1"/>
  <c r="D65" i="1" s="1"/>
  <c r="C62" i="1"/>
  <c r="E62" i="1" s="1"/>
  <c r="C58" i="1"/>
  <c r="E58" i="1" s="1"/>
  <c r="B53" i="1"/>
  <c r="D53" i="1" s="1"/>
  <c r="C50" i="1"/>
  <c r="E50" i="1" s="1"/>
  <c r="B45" i="1"/>
  <c r="D45" i="1" s="1"/>
  <c r="B41" i="1"/>
  <c r="D41" i="1" s="1"/>
  <c r="C38" i="1"/>
  <c r="E38" i="1" s="1"/>
  <c r="C101" i="1"/>
  <c r="E101" i="1" s="1"/>
  <c r="C98" i="1"/>
  <c r="E98" i="1" s="1"/>
  <c r="C96" i="1"/>
  <c r="E96" i="1" s="1"/>
  <c r="C94" i="1"/>
  <c r="E94" i="1" s="1"/>
  <c r="C92" i="1"/>
  <c r="E92" i="1" s="1"/>
  <c r="C90" i="1"/>
  <c r="E90" i="1" s="1"/>
  <c r="C88" i="1"/>
  <c r="E88" i="1" s="1"/>
  <c r="C87" i="1"/>
  <c r="E87" i="1" s="1"/>
  <c r="C83" i="1"/>
  <c r="E83" i="1" s="1"/>
  <c r="B82" i="1"/>
  <c r="D82" i="1" s="1"/>
  <c r="C79" i="1"/>
  <c r="E79" i="1" s="1"/>
  <c r="B87" i="1"/>
  <c r="D87" i="1" s="1"/>
  <c r="C84" i="1"/>
  <c r="E84" i="1" s="1"/>
  <c r="B83" i="1"/>
  <c r="D83" i="1" s="1"/>
  <c r="C80" i="1"/>
  <c r="E80" i="1" s="1"/>
  <c r="B79" i="1"/>
  <c r="D79" i="1" s="1"/>
  <c r="C76" i="1"/>
  <c r="E76" i="1" s="1"/>
  <c r="B75" i="1"/>
  <c r="D75" i="1" s="1"/>
  <c r="C72" i="1"/>
  <c r="E72" i="1" s="1"/>
  <c r="B71" i="1"/>
  <c r="D71" i="1" s="1"/>
  <c r="C68" i="1"/>
  <c r="E68" i="1" s="1"/>
  <c r="B67" i="1"/>
  <c r="D67" i="1" s="1"/>
  <c r="C64" i="1"/>
  <c r="E64" i="1" s="1"/>
  <c r="B63" i="1"/>
  <c r="D63" i="1" s="1"/>
  <c r="C60" i="1"/>
  <c r="E60" i="1" s="1"/>
  <c r="B59" i="1"/>
  <c r="D59" i="1" s="1"/>
  <c r="C56" i="1"/>
  <c r="E56" i="1" s="1"/>
  <c r="B55" i="1"/>
  <c r="D55" i="1" s="1"/>
  <c r="C52" i="1"/>
  <c r="E52" i="1" s="1"/>
  <c r="B51" i="1"/>
  <c r="D51" i="1" s="1"/>
  <c r="C48" i="1"/>
  <c r="E48" i="1" s="1"/>
  <c r="B47" i="1"/>
  <c r="D47" i="1" s="1"/>
  <c r="C44" i="1"/>
  <c r="E44" i="1" s="1"/>
  <c r="B43" i="1"/>
  <c r="D43" i="1" s="1"/>
  <c r="C40" i="1"/>
  <c r="E40" i="1" s="1"/>
  <c r="B39" i="1"/>
  <c r="D39" i="1" s="1"/>
  <c r="C36" i="1"/>
  <c r="E36" i="1" s="1"/>
  <c r="C32" i="1"/>
  <c r="E32" i="1" s="1"/>
  <c r="C31" i="1"/>
  <c r="E31" i="1" s="1"/>
  <c r="C30" i="1"/>
  <c r="E30" i="1" s="1"/>
  <c r="C29" i="1"/>
  <c r="E29" i="1" s="1"/>
  <c r="C28" i="1"/>
  <c r="E28" i="1" s="1"/>
  <c r="C27" i="1"/>
  <c r="E27" i="1" s="1"/>
  <c r="C26" i="1"/>
  <c r="E26" i="1" s="1"/>
  <c r="C25" i="1"/>
  <c r="E25" i="1" s="1"/>
  <c r="C24" i="1"/>
  <c r="E24" i="1" s="1"/>
  <c r="C23" i="1"/>
  <c r="E23" i="1" s="1"/>
  <c r="C22" i="1"/>
  <c r="E22" i="1" s="1"/>
  <c r="C21" i="1"/>
  <c r="E21" i="1" s="1"/>
  <c r="C20" i="1"/>
  <c r="E20" i="1" s="1"/>
  <c r="C19" i="1"/>
  <c r="E19" i="1" s="1"/>
  <c r="C18" i="1"/>
  <c r="E18" i="1" s="1"/>
  <c r="C17" i="1"/>
  <c r="E17" i="1" s="1"/>
  <c r="C16" i="1"/>
  <c r="E16" i="1" s="1"/>
  <c r="C15" i="1"/>
  <c r="E15" i="1" s="1"/>
  <c r="C14" i="1"/>
  <c r="E14" i="1" s="1"/>
  <c r="C13" i="1"/>
  <c r="E13" i="1" s="1"/>
  <c r="C12" i="1"/>
  <c r="E12" i="1" s="1"/>
  <c r="C11" i="1"/>
  <c r="E11" i="1" s="1"/>
  <c r="C10" i="1"/>
  <c r="E10" i="1" s="1"/>
  <c r="C9" i="1"/>
  <c r="E9" i="1" s="1"/>
  <c r="C8" i="1"/>
  <c r="E8" i="1" s="1"/>
  <c r="C7" i="1"/>
  <c r="E7" i="1" s="1"/>
  <c r="C6" i="1"/>
  <c r="E6" i="1" s="1"/>
  <c r="C5" i="1"/>
  <c r="E5" i="1" s="1"/>
  <c r="C4" i="1"/>
  <c r="E4" i="1" s="1"/>
  <c r="C3" i="1"/>
  <c r="E3" i="1" s="1"/>
  <c r="B35" i="1"/>
  <c r="D35" i="1" s="1"/>
  <c r="B34" i="1"/>
  <c r="D34" i="1" s="1"/>
  <c r="B33" i="1"/>
  <c r="D33" i="1" s="1"/>
  <c r="B32" i="1"/>
  <c r="D32" i="1" s="1"/>
  <c r="B31" i="1"/>
  <c r="D31" i="1" s="1"/>
  <c r="B30" i="1"/>
  <c r="D30" i="1" s="1"/>
  <c r="B29" i="1"/>
  <c r="D29" i="1" s="1"/>
  <c r="B28" i="1"/>
  <c r="D28" i="1" s="1"/>
  <c r="B27" i="1"/>
  <c r="D27" i="1" s="1"/>
  <c r="B26" i="1"/>
  <c r="D26" i="1" s="1"/>
  <c r="B25" i="1"/>
  <c r="D25" i="1" s="1"/>
  <c r="B24" i="1"/>
  <c r="D24" i="1" s="1"/>
  <c r="B23" i="1"/>
  <c r="D23" i="1" s="1"/>
  <c r="B22" i="1"/>
  <c r="D22" i="1" s="1"/>
  <c r="B21" i="1"/>
  <c r="D21" i="1" s="1"/>
  <c r="B20" i="1"/>
  <c r="D20" i="1" s="1"/>
  <c r="B19" i="1"/>
  <c r="D19" i="1" s="1"/>
  <c r="B18" i="1"/>
  <c r="D18" i="1" s="1"/>
  <c r="B17" i="1"/>
  <c r="D17" i="1" s="1"/>
  <c r="B16" i="1"/>
  <c r="D16" i="1" s="1"/>
  <c r="B15" i="1"/>
  <c r="D15" i="1" s="1"/>
  <c r="B14" i="1"/>
  <c r="D14" i="1" s="1"/>
  <c r="B13" i="1"/>
  <c r="D13" i="1" s="1"/>
  <c r="B12" i="1"/>
  <c r="D12" i="1" s="1"/>
  <c r="B11" i="1"/>
  <c r="D11" i="1" s="1"/>
  <c r="B10" i="1"/>
  <c r="D10" i="1" s="1"/>
  <c r="B9" i="1"/>
  <c r="D9" i="1" s="1"/>
  <c r="B8" i="1"/>
  <c r="D8" i="1" s="1"/>
  <c r="B7" i="1"/>
  <c r="D7" i="1" s="1"/>
  <c r="B6" i="1"/>
  <c r="D6" i="1" s="1"/>
  <c r="B5" i="1"/>
  <c r="D5" i="1" s="1"/>
  <c r="B4" i="1"/>
  <c r="D4" i="1" s="1"/>
  <c r="B3" i="1"/>
  <c r="D3" i="1" s="1"/>
  <c r="C2" i="1"/>
  <c r="E2" i="1" s="1"/>
  <c r="B2" i="1"/>
  <c r="D2" i="1" s="1"/>
  <c r="M63" i="1" l="1"/>
  <c r="M97" i="1"/>
  <c r="M71" i="1"/>
  <c r="M37" i="1"/>
  <c r="M47" i="1"/>
  <c r="M99" i="1"/>
  <c r="M18" i="1"/>
  <c r="M31" i="1"/>
  <c r="M26" i="1"/>
  <c r="M65" i="1"/>
  <c r="M10" i="1"/>
  <c r="M55" i="1"/>
  <c r="M87" i="1"/>
  <c r="M6" i="1"/>
  <c r="M22" i="1"/>
  <c r="M79" i="1"/>
  <c r="M41" i="1"/>
  <c r="M50" i="1"/>
  <c r="M74" i="1"/>
  <c r="M7" i="1"/>
  <c r="M11" i="1"/>
  <c r="M19" i="1"/>
  <c r="M23" i="1"/>
  <c r="M95" i="1"/>
  <c r="M34" i="1"/>
  <c r="M58" i="1"/>
  <c r="M66" i="1"/>
  <c r="M13" i="1"/>
  <c r="M17" i="1"/>
  <c r="M21" i="1"/>
  <c r="M25" i="1"/>
  <c r="M39" i="1"/>
  <c r="M64" i="1"/>
  <c r="N64" i="1" s="1"/>
  <c r="M56" i="1"/>
  <c r="M101" i="1"/>
  <c r="M92" i="1"/>
  <c r="M42" i="1"/>
  <c r="N42" i="1" s="1"/>
  <c r="M82" i="1"/>
  <c r="M3" i="1"/>
  <c r="M12" i="1"/>
  <c r="M16" i="1"/>
  <c r="M48" i="1"/>
  <c r="M27" i="1"/>
  <c r="M32" i="1"/>
  <c r="N32" i="1" s="1"/>
  <c r="M80" i="1"/>
  <c r="M94" i="1"/>
  <c r="M33" i="1"/>
  <c r="M72" i="1"/>
  <c r="M91" i="1"/>
  <c r="M4" i="1"/>
  <c r="M8" i="1"/>
  <c r="M20" i="1"/>
  <c r="M24" i="1"/>
  <c r="M30" i="1"/>
  <c r="M38" i="1"/>
  <c r="M46" i="1"/>
  <c r="M54" i="1"/>
  <c r="M62" i="1"/>
  <c r="M70" i="1"/>
  <c r="M78" i="1"/>
  <c r="M86" i="1"/>
  <c r="M96" i="1"/>
  <c r="M49" i="1"/>
  <c r="M57" i="1"/>
  <c r="M73" i="1"/>
  <c r="M81" i="1"/>
  <c r="M36" i="1"/>
  <c r="M2" i="1"/>
  <c r="M5" i="1"/>
  <c r="M9" i="1"/>
  <c r="M14" i="1"/>
  <c r="M89" i="1"/>
  <c r="M98" i="1"/>
  <c r="M90" i="1"/>
  <c r="M100" i="1"/>
  <c r="M28" i="1"/>
  <c r="M40" i="1"/>
  <c r="M60" i="1"/>
  <c r="M84" i="1"/>
  <c r="M15" i="1"/>
  <c r="M35" i="1"/>
  <c r="M43" i="1"/>
  <c r="M51" i="1"/>
  <c r="M59" i="1"/>
  <c r="N59" i="1" s="1"/>
  <c r="M67" i="1"/>
  <c r="M75" i="1"/>
  <c r="M83" i="1"/>
  <c r="M68" i="1"/>
  <c r="M52" i="1"/>
  <c r="M76" i="1"/>
  <c r="M93" i="1"/>
  <c r="M45" i="1"/>
  <c r="M53" i="1"/>
  <c r="M61" i="1"/>
  <c r="M69" i="1"/>
  <c r="M77" i="1"/>
  <c r="M85" i="1"/>
  <c r="M29" i="1"/>
  <c r="M44" i="1"/>
  <c r="M88" i="1"/>
  <c r="F68" i="1"/>
  <c r="F5" i="1"/>
  <c r="F13" i="1"/>
  <c r="F53" i="1"/>
  <c r="F36" i="1"/>
  <c r="F20" i="1"/>
  <c r="F49" i="1"/>
  <c r="F60" i="1"/>
  <c r="F44" i="1"/>
  <c r="F21" i="1"/>
  <c r="F29" i="1"/>
  <c r="F37" i="1"/>
  <c r="F4" i="1"/>
  <c r="F12" i="1"/>
  <c r="F2" i="1"/>
  <c r="F76" i="1"/>
  <c r="F70" i="1"/>
  <c r="F28" i="1"/>
  <c r="F54" i="1"/>
  <c r="F57" i="1"/>
  <c r="F52" i="1"/>
  <c r="F7" i="1"/>
  <c r="F23" i="1"/>
  <c r="F47" i="1"/>
  <c r="F71" i="1"/>
  <c r="G71" i="1" s="1"/>
  <c r="F64" i="1"/>
  <c r="F40" i="1"/>
  <c r="F59" i="1"/>
  <c r="F67" i="1"/>
  <c r="F75" i="1"/>
  <c r="F25" i="1"/>
  <c r="F45" i="1"/>
  <c r="F69" i="1"/>
  <c r="G69" i="1" s="1"/>
  <c r="F15" i="1"/>
  <c r="F31" i="1"/>
  <c r="F39" i="1"/>
  <c r="F55" i="1"/>
  <c r="F63" i="1"/>
  <c r="F48" i="1"/>
  <c r="F10" i="1"/>
  <c r="F18" i="1"/>
  <c r="F26" i="1"/>
  <c r="F34" i="1"/>
  <c r="F42" i="1"/>
  <c r="F50" i="1"/>
  <c r="F58" i="1"/>
  <c r="F66" i="1"/>
  <c r="F74" i="1"/>
  <c r="F17" i="1"/>
  <c r="F9" i="1"/>
  <c r="F41" i="1"/>
  <c r="G41" i="1" s="1"/>
  <c r="F61" i="1"/>
  <c r="G61" i="1" s="1"/>
  <c r="F56" i="1"/>
  <c r="G56" i="1" s="1"/>
  <c r="F33" i="1"/>
  <c r="F65" i="1"/>
  <c r="F73" i="1"/>
  <c r="F6" i="1"/>
  <c r="F14" i="1"/>
  <c r="F22" i="1"/>
  <c r="F30" i="1"/>
  <c r="F38" i="1"/>
  <c r="F46" i="1"/>
  <c r="F62" i="1"/>
  <c r="F3" i="1"/>
  <c r="F11" i="1"/>
  <c r="F19" i="1"/>
  <c r="F27" i="1"/>
  <c r="F35" i="1"/>
  <c r="F43" i="1"/>
  <c r="F51" i="1"/>
  <c r="F8" i="1"/>
  <c r="F16" i="1"/>
  <c r="F24" i="1"/>
  <c r="F32" i="1"/>
  <c r="F72" i="1"/>
  <c r="F92" i="1"/>
  <c r="F96" i="1"/>
  <c r="F88" i="1"/>
  <c r="F80" i="1"/>
  <c r="F84" i="1"/>
  <c r="F100" i="1"/>
  <c r="N68" i="1" l="1"/>
  <c r="N37" i="1"/>
  <c r="G8" i="1"/>
  <c r="G22" i="1"/>
  <c r="N28" i="1"/>
  <c r="N72" i="1"/>
  <c r="N98" i="1"/>
  <c r="N63" i="1"/>
  <c r="N53" i="1"/>
  <c r="N67" i="1"/>
  <c r="N40" i="1"/>
  <c r="N80" i="1"/>
  <c r="N11" i="1"/>
  <c r="N38" i="1"/>
  <c r="N4" i="1"/>
  <c r="N76" i="1"/>
  <c r="N12" i="1"/>
  <c r="G6" i="1"/>
  <c r="N8" i="1"/>
  <c r="N34" i="1"/>
  <c r="N27" i="1"/>
  <c r="G21" i="1"/>
  <c r="G16" i="1"/>
  <c r="N88" i="1"/>
  <c r="N77" i="1"/>
  <c r="N48" i="1"/>
  <c r="N56" i="1"/>
  <c r="N65" i="1"/>
  <c r="N3" i="1"/>
  <c r="N24" i="1"/>
  <c r="N22" i="1"/>
  <c r="N58" i="1"/>
  <c r="N19" i="1"/>
  <c r="N23" i="1"/>
  <c r="N100" i="1"/>
  <c r="N49" i="1"/>
  <c r="N18" i="1"/>
  <c r="N85" i="1"/>
  <c r="N75" i="1"/>
  <c r="N81" i="1"/>
  <c r="N92" i="1"/>
  <c r="N83" i="1"/>
  <c r="N43" i="1"/>
  <c r="N57" i="1"/>
  <c r="N87" i="1"/>
  <c r="N17" i="1"/>
  <c r="N13" i="1"/>
  <c r="N7" i="1"/>
  <c r="N66" i="1"/>
  <c r="N51" i="1"/>
  <c r="N29" i="1"/>
  <c r="N35" i="1"/>
  <c r="N5" i="1"/>
  <c r="N20" i="1"/>
  <c r="N26" i="1"/>
  <c r="N93" i="1"/>
  <c r="N14" i="1"/>
  <c r="N33" i="1"/>
  <c r="N95" i="1"/>
  <c r="N52" i="1"/>
  <c r="N90" i="1"/>
  <c r="N9" i="1"/>
  <c r="N73" i="1"/>
  <c r="N96" i="1"/>
  <c r="G35" i="1"/>
  <c r="G30" i="1"/>
  <c r="G73" i="1"/>
  <c r="G42" i="1"/>
  <c r="G10" i="1"/>
  <c r="G59" i="1"/>
  <c r="G47" i="1"/>
  <c r="G76" i="1"/>
  <c r="N84" i="1"/>
  <c r="N97" i="1"/>
  <c r="N45" i="1"/>
  <c r="N15" i="1"/>
  <c r="N60" i="1"/>
  <c r="N101" i="1"/>
  <c r="N25" i="1"/>
  <c r="N94" i="1"/>
  <c r="N21" i="1"/>
  <c r="N54" i="1"/>
  <c r="G39" i="1"/>
  <c r="G37" i="1"/>
  <c r="N82" i="1"/>
  <c r="N50" i="1"/>
  <c r="N78" i="1"/>
  <c r="N46" i="1"/>
  <c r="N47" i="1"/>
  <c r="N55" i="1"/>
  <c r="G72" i="1"/>
  <c r="G27" i="1"/>
  <c r="G65" i="1"/>
  <c r="G29" i="1"/>
  <c r="N44" i="1"/>
  <c r="N69" i="1"/>
  <c r="N74" i="1"/>
  <c r="N99" i="1"/>
  <c r="N10" i="1"/>
  <c r="N16" i="1"/>
  <c r="N89" i="1"/>
  <c r="N70" i="1"/>
  <c r="N79" i="1"/>
  <c r="N39" i="1"/>
  <c r="N91" i="1"/>
  <c r="N86" i="1"/>
  <c r="G45" i="1"/>
  <c r="G57" i="1"/>
  <c r="G53" i="1"/>
  <c r="G51" i="1"/>
  <c r="G19" i="1"/>
  <c r="N61" i="1"/>
  <c r="N6" i="1"/>
  <c r="N36" i="1"/>
  <c r="N41" i="1"/>
  <c r="N62" i="1"/>
  <c r="N30" i="1"/>
  <c r="N71" i="1"/>
  <c r="N31" i="1"/>
  <c r="G14" i="1"/>
  <c r="G3" i="1"/>
  <c r="G34" i="1"/>
  <c r="G13" i="1"/>
  <c r="G25" i="1"/>
  <c r="G74" i="1"/>
  <c r="G24" i="1"/>
  <c r="G50" i="1"/>
  <c r="G40" i="1"/>
  <c r="G23" i="1"/>
  <c r="G54" i="1"/>
  <c r="G49" i="1"/>
  <c r="G62" i="1"/>
  <c r="G48" i="1"/>
  <c r="G32" i="1"/>
  <c r="G46" i="1"/>
  <c r="G33" i="1"/>
  <c r="G9" i="1"/>
  <c r="G58" i="1"/>
  <c r="G26" i="1"/>
  <c r="G63" i="1"/>
  <c r="G15" i="1"/>
  <c r="G75" i="1"/>
  <c r="G64" i="1"/>
  <c r="G7" i="1"/>
  <c r="G28" i="1"/>
  <c r="G12" i="1"/>
  <c r="G20" i="1"/>
  <c r="G5" i="1"/>
  <c r="G60" i="1"/>
  <c r="G66" i="1"/>
  <c r="G31" i="1"/>
  <c r="G43" i="1"/>
  <c r="G11" i="1"/>
  <c r="G38" i="1"/>
  <c r="G17" i="1"/>
  <c r="G18" i="1"/>
  <c r="G55" i="1"/>
  <c r="G67" i="1"/>
  <c r="G52" i="1"/>
  <c r="G70" i="1"/>
  <c r="G4" i="1"/>
  <c r="G44" i="1"/>
  <c r="G36" i="1"/>
  <c r="G68" i="1"/>
  <c r="F87" i="1"/>
  <c r="F82" i="1"/>
  <c r="F86" i="1"/>
  <c r="F83" i="1"/>
  <c r="F81" i="1"/>
  <c r="G81" i="1" s="1"/>
  <c r="F95" i="1"/>
  <c r="G96" i="1" s="1"/>
  <c r="F99" i="1"/>
  <c r="F89" i="1"/>
  <c r="G89" i="1" s="1"/>
  <c r="F101" i="1"/>
  <c r="G101" i="1" s="1"/>
  <c r="F77" i="1"/>
  <c r="G77" i="1" s="1"/>
  <c r="F85" i="1"/>
  <c r="G85" i="1" s="1"/>
  <c r="F97" i="1"/>
  <c r="G97" i="1" s="1"/>
  <c r="F94" i="1"/>
  <c r="F93" i="1"/>
  <c r="G93" i="1" s="1"/>
  <c r="F79" i="1"/>
  <c r="F98" i="1"/>
  <c r="F91" i="1"/>
  <c r="F78" i="1"/>
  <c r="G78" i="1" s="1"/>
  <c r="F90" i="1"/>
  <c r="G98" i="1" l="1"/>
  <c r="G79" i="1"/>
  <c r="G83" i="1"/>
  <c r="G91" i="1"/>
  <c r="G94" i="1"/>
  <c r="G87" i="1"/>
  <c r="G88" i="1"/>
  <c r="G99" i="1"/>
  <c r="G86" i="1"/>
  <c r="G80" i="1"/>
  <c r="G92" i="1"/>
  <c r="G90" i="1"/>
  <c r="G95" i="1"/>
  <c r="G82" i="1"/>
  <c r="G100" i="1"/>
  <c r="G8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<sst xmlns="http://schemas.openxmlformats.org/spreadsheetml/2006/main" count="10" uniqueCount="7">
  <si>
    <t>power</t>
  </si>
  <si>
    <t>delta</t>
  </si>
  <si>
    <t>össz</t>
  </si>
  <si>
    <t>nowsecs</t>
  </si>
  <si>
    <t>cycleTime</t>
  </si>
  <si>
    <t>result</t>
  </si>
  <si>
    <t>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</si>
</sst>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B5D57-0D73-4D14-A819-0CF1D2C16854}">
  <sheetPr codeName="Munka1"/>
  <dimension ref="A1:N101"/>
  <sheetViews>
    <sheetView tabSelected="1" workbookViewId="0">
      <selection activeCell="A51" sqref="A51:XFD51"/>
    </sheetView>
  </sheetViews>
  <sheetFormatPr defaultRowHeight="15" x14ac:dyDescent="0.25"/>
  <cols>
    <col min="8" max="8" width="3.42578125" style="1" customWidth="1"/>
  </cols>
  <sheetData>
    <row r="1" spans="1:14" x14ac:dyDescent="0.25">
      <c r="A1" t="s">
        <v>0</v>
      </c>
      <c r="D1">
        <v>500</v>
      </c>
      <c r="E1">
        <v>1000</v>
      </c>
      <c r="F1" t="s">
        <v>2</v>
      </c>
      <c r="G1" t="s">
        <v>1</v>
      </c>
      <c r="K1">
        <v>500</v>
      </c>
      <c r="L1">
        <v>1000</v>
      </c>
      <c r="M1" t="s">
        <v>2</v>
      </c>
      <c r="N1" t="s">
        <v>1</v>
      </c>
    </row>
    <row r="2" spans="1:14" x14ac:dyDescent="0.25">
      <c r="A2">
        <v>0.01</v>
      </c>
      <c r="B2" cm="1">
        <f t="array" ref="B2">powerCalc2($A2,0,0)</f>
        <v>0.02</v>
      </c>
      <c r="C2" cm="1">
        <f t="array" ref="C2">powerCalc2($A2,1,0)</f>
        <v>0</v>
      </c>
      <c r="D2">
        <f>B2*D$1</f>
        <v>10</v>
      </c>
      <c r="E2">
        <f>C2*E$1</f>
        <v>0</v>
      </c>
      <c r="F2">
        <f>D2+E2</f>
        <v>10</v>
      </c>
      <c r="I2" cm="1">
        <f t="array" ref="I2">powerCalc3($A2,0,1)</f>
        <v>3.0000000000000002E-2</v>
      </c>
      <c r="J2" cm="1">
        <f t="array" ref="J2">powerCalc3($A2,1,1)</f>
        <v>0</v>
      </c>
      <c r="K2">
        <f>I2*K$1</f>
        <v>15.000000000000002</v>
      </c>
      <c r="L2">
        <f>J2*L$1</f>
        <v>0</v>
      </c>
      <c r="M2">
        <f>K2+L2</f>
        <v>15.000000000000002</v>
      </c>
    </row>
    <row r="3" spans="1:14" x14ac:dyDescent="0.25">
      <c r="A3">
        <v>0.02</v>
      </c>
      <c r="B3" cm="1">
        <f t="array" ref="B3">powerCalc2($A3,0,0)</f>
        <v>0.04</v>
      </c>
      <c r="C3" cm="1">
        <f t="array" ref="C3">powerCalc2($A3,1,0)</f>
        <v>0</v>
      </c>
      <c r="D3">
        <f>B3*D$1</f>
        <v>20</v>
      </c>
      <c r="E3">
        <f>C3*E$1</f>
        <v>0</v>
      </c>
      <c r="F3">
        <f t="shared" ref="F3:F66" si="0">D3+E3</f>
        <v>20</v>
      </c>
      <c r="G3">
        <f>F3-F2</f>
        <v>10</v>
      </c>
      <c r="I3" cm="1">
        <f t="array" ref="I3">powerCalc3($A3,0,1)</f>
        <v>6.0000000000000005E-2</v>
      </c>
      <c r="J3" cm="1">
        <f t="array" ref="J3">powerCalc3($A3,1,1)</f>
        <v>0</v>
      </c>
      <c r="K3">
        <f t="shared" ref="K3:K66" si="1">I3*K$1</f>
        <v>30.000000000000004</v>
      </c>
      <c r="L3">
        <f>J3*L$1</f>
        <v>0</v>
      </c>
      <c r="M3">
        <f t="shared" ref="M3:M66" si="2">K3+L3</f>
        <v>30.000000000000004</v>
      </c>
      <c r="N3">
        <f>M3-M2</f>
        <v>15.000000000000002</v>
      </c>
    </row>
    <row r="4" spans="1:14" x14ac:dyDescent="0.25">
      <c r="A4">
        <v>0.03</v>
      </c>
      <c r="B4" cm="1">
        <f t="array" ref="B4">powerCalc2($A4,0,0)</f>
        <v>0.06</v>
      </c>
      <c r="C4" cm="1">
        <f t="array" ref="C4">powerCalc2($A4,1,0)</f>
        <v>0</v>
      </c>
      <c r="D4">
        <f>B4*D$1</f>
        <v>30</v>
      </c>
      <c r="E4">
        <f>C4*E$1</f>
        <v>0</v>
      </c>
      <c r="F4">
        <f t="shared" si="0"/>
        <v>30</v>
      </c>
      <c r="G4">
        <f t="shared" ref="G4:G67" si="3">F4-F3</f>
        <v>10</v>
      </c>
      <c r="I4" cm="1">
        <f t="array" ref="I4">powerCalc3($A4,0,1)</f>
        <v>0.09</v>
      </c>
      <c r="J4" cm="1">
        <f t="array" ref="J4">powerCalc3($A4,1,1)</f>
        <v>0</v>
      </c>
      <c r="K4">
        <f t="shared" si="1"/>
        <v>45</v>
      </c>
      <c r="L4">
        <f>J4*L$1</f>
        <v>0</v>
      </c>
      <c r="M4">
        <f t="shared" si="2"/>
        <v>45</v>
      </c>
      <c r="N4">
        <f t="shared" ref="N4:N67" si="4">M4-M3</f>
        <v>14.999999999999996</v>
      </c>
    </row>
    <row r="5" spans="1:14" x14ac:dyDescent="0.25">
      <c r="A5">
        <v>0.04</v>
      </c>
      <c r="B5" cm="1">
        <f t="array" ref="B5">powerCalc2($A5,0,0)</f>
        <v>0.08</v>
      </c>
      <c r="C5" cm="1">
        <f t="array" ref="C5">powerCalc2($A5,1,0)</f>
        <v>0</v>
      </c>
      <c r="D5">
        <f>B5*D$1</f>
        <v>40</v>
      </c>
      <c r="E5">
        <f>C5*E$1</f>
        <v>0</v>
      </c>
      <c r="F5">
        <f t="shared" si="0"/>
        <v>40</v>
      </c>
      <c r="G5">
        <f t="shared" si="3"/>
        <v>10</v>
      </c>
      <c r="I5" cm="1">
        <f t="array" ref="I5">powerCalc3($A5,0,1)</f>
        <v>0.12000000000000001</v>
      </c>
      <c r="J5" cm="1">
        <f t="array" ref="J5">powerCalc3($A5,1,1)</f>
        <v>0</v>
      </c>
      <c r="K5">
        <f t="shared" si="1"/>
        <v>60.000000000000007</v>
      </c>
      <c r="L5">
        <f>J5*L$1</f>
        <v>0</v>
      </c>
      <c r="M5">
        <f t="shared" si="2"/>
        <v>60.000000000000007</v>
      </c>
      <c r="N5">
        <f t="shared" si="4"/>
        <v>15.000000000000007</v>
      </c>
    </row>
    <row r="6" spans="1:14" x14ac:dyDescent="0.25">
      <c r="A6">
        <v>0.05</v>
      </c>
      <c r="B6" cm="1">
        <f t="array" ref="B6">powerCalc2($A6,0,0)</f>
        <v>0.1</v>
      </c>
      <c r="C6" cm="1">
        <f t="array" ref="C6">powerCalc2($A6,1,0)</f>
        <v>0</v>
      </c>
      <c r="D6">
        <f>B6*D$1</f>
        <v>50</v>
      </c>
      <c r="E6">
        <f>C6*E$1</f>
        <v>0</v>
      </c>
      <c r="F6">
        <f t="shared" si="0"/>
        <v>50</v>
      </c>
      <c r="G6">
        <f t="shared" si="3"/>
        <v>10</v>
      </c>
      <c r="I6" cm="1">
        <f t="array" ref="I6">powerCalc3($A6,0,1)</f>
        <v>0.15000000000000002</v>
      </c>
      <c r="J6" cm="1">
        <f t="array" ref="J6">powerCalc3($A6,1,1)</f>
        <v>0</v>
      </c>
      <c r="K6">
        <f t="shared" si="1"/>
        <v>75.000000000000014</v>
      </c>
      <c r="L6">
        <f>J6*L$1</f>
        <v>0</v>
      </c>
      <c r="M6">
        <f t="shared" si="2"/>
        <v>75.000000000000014</v>
      </c>
      <c r="N6">
        <f t="shared" si="4"/>
        <v>15.000000000000007</v>
      </c>
    </row>
    <row r="7" spans="1:14" x14ac:dyDescent="0.25">
      <c r="A7">
        <v>0.06</v>
      </c>
      <c r="B7" cm="1">
        <f t="array" ref="B7">powerCalc2($A7,0,0)</f>
        <v>0.12</v>
      </c>
      <c r="C7" cm="1">
        <f t="array" ref="C7">powerCalc2($A7,1,0)</f>
        <v>0</v>
      </c>
      <c r="D7">
        <f>B7*D$1</f>
        <v>60</v>
      </c>
      <c r="E7">
        <f>C7*E$1</f>
        <v>0</v>
      </c>
      <c r="F7">
        <f t="shared" si="0"/>
        <v>60</v>
      </c>
      <c r="G7">
        <f t="shared" si="3"/>
        <v>10</v>
      </c>
      <c r="I7" cm="1">
        <f t="array" ref="I7">powerCalc3($A7,0,1)</f>
        <v>0.18</v>
      </c>
      <c r="J7" cm="1">
        <f t="array" ref="J7">powerCalc3($A7,1,1)</f>
        <v>0</v>
      </c>
      <c r="K7">
        <f t="shared" si="1"/>
        <v>90</v>
      </c>
      <c r="L7">
        <f>J7*L$1</f>
        <v>0</v>
      </c>
      <c r="M7">
        <f t="shared" si="2"/>
        <v>90</v>
      </c>
      <c r="N7">
        <f t="shared" si="4"/>
        <v>14.999999999999986</v>
      </c>
    </row>
    <row r="8" spans="1:14" x14ac:dyDescent="0.25">
      <c r="A8">
        <v>7.0000000000000007E-2</v>
      </c>
      <c r="B8" cm="1">
        <f t="array" ref="B8">powerCalc2($A8,0,0)</f>
        <v>0.14000000000000001</v>
      </c>
      <c r="C8" cm="1">
        <f t="array" ref="C8">powerCalc2($A8,1,0)</f>
        <v>0</v>
      </c>
      <c r="D8">
        <f>B8*D$1</f>
        <v>70</v>
      </c>
      <c r="E8">
        <f>C8*E$1</f>
        <v>0</v>
      </c>
      <c r="F8">
        <f t="shared" si="0"/>
        <v>70</v>
      </c>
      <c r="G8">
        <f t="shared" si="3"/>
        <v>10</v>
      </c>
      <c r="I8" cm="1">
        <f t="array" ref="I8">powerCalc3($A8,0,1)</f>
        <v>0.21000000000000002</v>
      </c>
      <c r="J8" cm="1">
        <f t="array" ref="J8">powerCalc3($A8,1,1)</f>
        <v>0</v>
      </c>
      <c r="K8">
        <f t="shared" si="1"/>
        <v>105.00000000000001</v>
      </c>
      <c r="L8">
        <f>J8*L$1</f>
        <v>0</v>
      </c>
      <c r="M8">
        <f t="shared" si="2"/>
        <v>105.00000000000001</v>
      </c>
      <c r="N8">
        <f t="shared" si="4"/>
        <v>15.000000000000014</v>
      </c>
    </row>
    <row r="9" spans="1:14" x14ac:dyDescent="0.25">
      <c r="A9">
        <v>0.08</v>
      </c>
      <c r="B9" cm="1">
        <f t="array" ref="B9">powerCalc2($A9,0,0)</f>
        <v>0.16</v>
      </c>
      <c r="C9" cm="1">
        <f t="array" ref="C9">powerCalc2($A9,1,0)</f>
        <v>0</v>
      </c>
      <c r="D9">
        <f>B9*D$1</f>
        <v>80</v>
      </c>
      <c r="E9">
        <f>C9*E$1</f>
        <v>0</v>
      </c>
      <c r="F9">
        <f t="shared" si="0"/>
        <v>80</v>
      </c>
      <c r="G9">
        <f t="shared" si="3"/>
        <v>10</v>
      </c>
      <c r="I9" cm="1">
        <f t="array" ref="I9">powerCalc3($A9,0,1)</f>
        <v>0.24000000000000002</v>
      </c>
      <c r="J9" cm="1">
        <f t="array" ref="J9">powerCalc3($A9,1,1)</f>
        <v>0</v>
      </c>
      <c r="K9">
        <f t="shared" si="1"/>
        <v>120.00000000000001</v>
      </c>
      <c r="L9">
        <f>J9*L$1</f>
        <v>0</v>
      </c>
      <c r="M9">
        <f t="shared" si="2"/>
        <v>120.00000000000001</v>
      </c>
      <c r="N9">
        <f t="shared" si="4"/>
        <v>15</v>
      </c>
    </row>
    <row r="10" spans="1:14" x14ac:dyDescent="0.25">
      <c r="A10">
        <v>0.09</v>
      </c>
      <c r="B10" cm="1">
        <f t="array" ref="B10">powerCalc2($A10,0,0)</f>
        <v>0.18</v>
      </c>
      <c r="C10" cm="1">
        <f t="array" ref="C10">powerCalc2($A10,1,0)</f>
        <v>0</v>
      </c>
      <c r="D10">
        <f>B10*D$1</f>
        <v>90</v>
      </c>
      <c r="E10">
        <f>C10*E$1</f>
        <v>0</v>
      </c>
      <c r="F10">
        <f t="shared" si="0"/>
        <v>90</v>
      </c>
      <c r="G10">
        <f t="shared" si="3"/>
        <v>10</v>
      </c>
      <c r="I10" cm="1">
        <f t="array" ref="I10">powerCalc3($A10,0,1)</f>
        <v>0.27</v>
      </c>
      <c r="J10" cm="1">
        <f t="array" ref="J10">powerCalc3($A10,1,1)</f>
        <v>0</v>
      </c>
      <c r="K10">
        <f t="shared" si="1"/>
        <v>135</v>
      </c>
      <c r="L10">
        <f>J10*L$1</f>
        <v>0</v>
      </c>
      <c r="M10">
        <f t="shared" si="2"/>
        <v>135</v>
      </c>
      <c r="N10">
        <f t="shared" si="4"/>
        <v>14.999999999999986</v>
      </c>
    </row>
    <row r="11" spans="1:14" x14ac:dyDescent="0.25">
      <c r="A11">
        <v>0.1</v>
      </c>
      <c r="B11" cm="1">
        <f t="array" ref="B11">powerCalc2($A11,0,0)</f>
        <v>0.2</v>
      </c>
      <c r="C11" cm="1">
        <f t="array" ref="C11">powerCalc2($A11,1,0)</f>
        <v>0</v>
      </c>
      <c r="D11">
        <f>B11*D$1</f>
        <v>100</v>
      </c>
      <c r="E11">
        <f>C11*E$1</f>
        <v>0</v>
      </c>
      <c r="F11">
        <f t="shared" si="0"/>
        <v>100</v>
      </c>
      <c r="G11">
        <f t="shared" si="3"/>
        <v>10</v>
      </c>
      <c r="I11" cm="1">
        <f t="array" ref="I11">powerCalc3($A11,0,1)</f>
        <v>0.30000000000000004</v>
      </c>
      <c r="J11" cm="1">
        <f t="array" ref="J11">powerCalc3($A11,1,1)</f>
        <v>0</v>
      </c>
      <c r="K11">
        <f t="shared" si="1"/>
        <v>150.00000000000003</v>
      </c>
      <c r="L11">
        <f>J11*L$1</f>
        <v>0</v>
      </c>
      <c r="M11">
        <f t="shared" si="2"/>
        <v>150.00000000000003</v>
      </c>
      <c r="N11">
        <f t="shared" si="4"/>
        <v>15.000000000000028</v>
      </c>
    </row>
    <row r="12" spans="1:14" x14ac:dyDescent="0.25">
      <c r="A12">
        <v>0.11</v>
      </c>
      <c r="B12" cm="1">
        <f t="array" ref="B12">powerCalc2($A12,0,0)</f>
        <v>0.22</v>
      </c>
      <c r="C12" cm="1">
        <f t="array" ref="C12">powerCalc2($A12,1,0)</f>
        <v>0</v>
      </c>
      <c r="D12">
        <f>B12*D$1</f>
        <v>110</v>
      </c>
      <c r="E12">
        <f>C12*E$1</f>
        <v>0</v>
      </c>
      <c r="F12">
        <f t="shared" si="0"/>
        <v>110</v>
      </c>
      <c r="G12">
        <f t="shared" si="3"/>
        <v>10</v>
      </c>
      <c r="I12" cm="1">
        <f t="array" ref="I12">powerCalc3($A12,0,1)</f>
        <v>0.33</v>
      </c>
      <c r="J12" cm="1">
        <f t="array" ref="J12">powerCalc3($A12,1,1)</f>
        <v>0</v>
      </c>
      <c r="K12">
        <f t="shared" si="1"/>
        <v>165</v>
      </c>
      <c r="L12">
        <f>J12*L$1</f>
        <v>0</v>
      </c>
      <c r="M12">
        <f t="shared" si="2"/>
        <v>165</v>
      </c>
      <c r="N12">
        <f t="shared" si="4"/>
        <v>14.999999999999972</v>
      </c>
    </row>
    <row r="13" spans="1:14" x14ac:dyDescent="0.25">
      <c r="A13">
        <v>0.12</v>
      </c>
      <c r="B13" cm="1">
        <f t="array" ref="B13">powerCalc2($A13,0,0)</f>
        <v>0.24</v>
      </c>
      <c r="C13" cm="1">
        <f t="array" ref="C13">powerCalc2($A13,1,0)</f>
        <v>0</v>
      </c>
      <c r="D13">
        <f>B13*D$1</f>
        <v>120</v>
      </c>
      <c r="E13">
        <f>C13*E$1</f>
        <v>0</v>
      </c>
      <c r="F13">
        <f t="shared" si="0"/>
        <v>120</v>
      </c>
      <c r="G13">
        <f t="shared" si="3"/>
        <v>10</v>
      </c>
      <c r="I13" cm="1">
        <f t="array" ref="I13">powerCalc3($A13,0,1)</f>
        <v>0.36</v>
      </c>
      <c r="J13" cm="1">
        <f t="array" ref="J13">powerCalc3($A13,1,1)</f>
        <v>0</v>
      </c>
      <c r="K13">
        <f t="shared" si="1"/>
        <v>180</v>
      </c>
      <c r="L13">
        <f>J13*L$1</f>
        <v>0</v>
      </c>
      <c r="M13">
        <f t="shared" si="2"/>
        <v>180</v>
      </c>
      <c r="N13">
        <f t="shared" si="4"/>
        <v>15</v>
      </c>
    </row>
    <row r="14" spans="1:14" x14ac:dyDescent="0.25">
      <c r="A14">
        <v>0.13</v>
      </c>
      <c r="B14" cm="1">
        <f t="array" ref="B14">powerCalc2($A14,0,0)</f>
        <v>0.26</v>
      </c>
      <c r="C14" cm="1">
        <f t="array" ref="C14">powerCalc2($A14,1,0)</f>
        <v>0</v>
      </c>
      <c r="D14">
        <f>B14*D$1</f>
        <v>130</v>
      </c>
      <c r="E14">
        <f>C14*E$1</f>
        <v>0</v>
      </c>
      <c r="F14">
        <f t="shared" si="0"/>
        <v>130</v>
      </c>
      <c r="G14">
        <f t="shared" si="3"/>
        <v>10</v>
      </c>
      <c r="I14" cm="1">
        <f t="array" ref="I14">powerCalc3($A14,0,1)</f>
        <v>0.39</v>
      </c>
      <c r="J14" cm="1">
        <f t="array" ref="J14">powerCalc3($A14,1,1)</f>
        <v>0</v>
      </c>
      <c r="K14">
        <f t="shared" si="1"/>
        <v>195</v>
      </c>
      <c r="L14">
        <f>J14*L$1</f>
        <v>0</v>
      </c>
      <c r="M14">
        <f t="shared" si="2"/>
        <v>195</v>
      </c>
      <c r="N14">
        <f t="shared" si="4"/>
        <v>15</v>
      </c>
    </row>
    <row r="15" spans="1:14" x14ac:dyDescent="0.25">
      <c r="A15">
        <v>0.14000000000000001</v>
      </c>
      <c r="B15" cm="1">
        <f t="array" ref="B15">powerCalc2($A15,0,0)</f>
        <v>0.28000000000000003</v>
      </c>
      <c r="C15" cm="1">
        <f t="array" ref="C15">powerCalc2($A15,1,0)</f>
        <v>0</v>
      </c>
      <c r="D15">
        <f>B15*D$1</f>
        <v>140</v>
      </c>
      <c r="E15">
        <f>C15*E$1</f>
        <v>0</v>
      </c>
      <c r="F15">
        <f t="shared" si="0"/>
        <v>140</v>
      </c>
      <c r="G15">
        <f t="shared" si="3"/>
        <v>10</v>
      </c>
      <c r="I15" cm="1">
        <f t="array" ref="I15">powerCalc3($A15,0,1)</f>
        <v>0.42000000000000004</v>
      </c>
      <c r="J15" cm="1">
        <f t="array" ref="J15">powerCalc3($A15,1,1)</f>
        <v>0</v>
      </c>
      <c r="K15">
        <f t="shared" si="1"/>
        <v>210.00000000000003</v>
      </c>
      <c r="L15">
        <f>J15*L$1</f>
        <v>0</v>
      </c>
      <c r="M15">
        <f t="shared" si="2"/>
        <v>210.00000000000003</v>
      </c>
      <c r="N15">
        <f t="shared" si="4"/>
        <v>15.000000000000028</v>
      </c>
    </row>
    <row r="16" spans="1:14" x14ac:dyDescent="0.25">
      <c r="A16">
        <v>0.15</v>
      </c>
      <c r="B16" cm="1">
        <f t="array" ref="B16">powerCalc2($A16,0,0)</f>
        <v>0.3</v>
      </c>
      <c r="C16" cm="1">
        <f t="array" ref="C16">powerCalc2($A16,1,0)</f>
        <v>0</v>
      </c>
      <c r="D16">
        <f>B16*D$1</f>
        <v>150</v>
      </c>
      <c r="E16">
        <f>C16*E$1</f>
        <v>0</v>
      </c>
      <c r="F16">
        <f t="shared" si="0"/>
        <v>150</v>
      </c>
      <c r="G16">
        <f t="shared" si="3"/>
        <v>10</v>
      </c>
      <c r="I16" cm="1">
        <f t="array" ref="I16">powerCalc3($A16,0,1)</f>
        <v>0.45</v>
      </c>
      <c r="J16" cm="1">
        <f t="array" ref="J16">powerCalc3($A16,1,1)</f>
        <v>0</v>
      </c>
      <c r="K16">
        <f t="shared" si="1"/>
        <v>225</v>
      </c>
      <c r="L16">
        <f>J16*L$1</f>
        <v>0</v>
      </c>
      <c r="M16">
        <f t="shared" si="2"/>
        <v>225</v>
      </c>
      <c r="N16">
        <f t="shared" si="4"/>
        <v>14.999999999999972</v>
      </c>
    </row>
    <row r="17" spans="1:14" x14ac:dyDescent="0.25">
      <c r="A17">
        <v>0.16</v>
      </c>
      <c r="B17" cm="1">
        <f t="array" ref="B17">powerCalc2($A17,0,0)</f>
        <v>0.32</v>
      </c>
      <c r="C17" cm="1">
        <f t="array" ref="C17">powerCalc2($A17,1,0)</f>
        <v>0</v>
      </c>
      <c r="D17">
        <f>B17*D$1</f>
        <v>160</v>
      </c>
      <c r="E17">
        <f>C17*E$1</f>
        <v>0</v>
      </c>
      <c r="F17">
        <f t="shared" si="0"/>
        <v>160</v>
      </c>
      <c r="G17">
        <f t="shared" si="3"/>
        <v>10</v>
      </c>
      <c r="I17" cm="1">
        <f t="array" ref="I17">powerCalc3($A17,0,1)</f>
        <v>0.48000000000000004</v>
      </c>
      <c r="J17" cm="1">
        <f t="array" ref="J17">powerCalc3($A17,1,1)</f>
        <v>0</v>
      </c>
      <c r="K17">
        <f t="shared" si="1"/>
        <v>240.00000000000003</v>
      </c>
      <c r="L17">
        <f>J17*L$1</f>
        <v>0</v>
      </c>
      <c r="M17">
        <f t="shared" si="2"/>
        <v>240.00000000000003</v>
      </c>
      <c r="N17">
        <f t="shared" si="4"/>
        <v>15.000000000000028</v>
      </c>
    </row>
    <row r="18" spans="1:14" x14ac:dyDescent="0.25">
      <c r="A18">
        <v>0.17</v>
      </c>
      <c r="B18" cm="1">
        <f t="array" ref="B18">powerCalc2($A18,0,0)</f>
        <v>0.34</v>
      </c>
      <c r="C18" cm="1">
        <f t="array" ref="C18">powerCalc2($A18,1,0)</f>
        <v>0</v>
      </c>
      <c r="D18">
        <f>B18*D$1</f>
        <v>170</v>
      </c>
      <c r="E18">
        <f>C18*E$1</f>
        <v>0</v>
      </c>
      <c r="F18">
        <f t="shared" si="0"/>
        <v>170</v>
      </c>
      <c r="G18">
        <f t="shared" si="3"/>
        <v>10</v>
      </c>
      <c r="I18" cm="1">
        <f t="array" ref="I18">powerCalc3($A18,0,1)</f>
        <v>0.51000000000000012</v>
      </c>
      <c r="J18" cm="1">
        <f t="array" ref="J18">powerCalc3($A18,1,1)</f>
        <v>0</v>
      </c>
      <c r="K18">
        <f t="shared" si="1"/>
        <v>255.00000000000006</v>
      </c>
      <c r="L18">
        <f>J18*L$1</f>
        <v>0</v>
      </c>
      <c r="M18">
        <f t="shared" si="2"/>
        <v>255.00000000000006</v>
      </c>
      <c r="N18">
        <f t="shared" si="4"/>
        <v>15.000000000000028</v>
      </c>
    </row>
    <row r="19" spans="1:14" x14ac:dyDescent="0.25">
      <c r="A19">
        <v>0.18</v>
      </c>
      <c r="B19" cm="1">
        <f t="array" ref="B19">powerCalc2($A19,0,0)</f>
        <v>0.36</v>
      </c>
      <c r="C19" cm="1">
        <f t="array" ref="C19">powerCalc2($A19,1,0)</f>
        <v>0</v>
      </c>
      <c r="D19">
        <f>B19*D$1</f>
        <v>180</v>
      </c>
      <c r="E19">
        <f>C19*E$1</f>
        <v>0</v>
      </c>
      <c r="F19">
        <f t="shared" si="0"/>
        <v>180</v>
      </c>
      <c r="G19">
        <f t="shared" si="3"/>
        <v>10</v>
      </c>
      <c r="I19" cm="1">
        <f t="array" ref="I19">powerCalc3($A19,0,1)</f>
        <v>0.54</v>
      </c>
      <c r="J19" cm="1">
        <f t="array" ref="J19">powerCalc3($A19,1,1)</f>
        <v>0</v>
      </c>
      <c r="K19">
        <f t="shared" si="1"/>
        <v>270</v>
      </c>
      <c r="L19">
        <f>J19*L$1</f>
        <v>0</v>
      </c>
      <c r="M19">
        <f t="shared" si="2"/>
        <v>270</v>
      </c>
      <c r="N19">
        <f t="shared" si="4"/>
        <v>14.999999999999943</v>
      </c>
    </row>
    <row r="20" spans="1:14" x14ac:dyDescent="0.25">
      <c r="A20">
        <v>0.19</v>
      </c>
      <c r="B20" cm="1">
        <f t="array" ref="B20">powerCalc2($A20,0,0)</f>
        <v>0.38</v>
      </c>
      <c r="C20" cm="1">
        <f t="array" ref="C20">powerCalc2($A20,1,0)</f>
        <v>0</v>
      </c>
      <c r="D20">
        <f>B20*D$1</f>
        <v>190</v>
      </c>
      <c r="E20">
        <f>C20*E$1</f>
        <v>0</v>
      </c>
      <c r="F20">
        <f t="shared" si="0"/>
        <v>190</v>
      </c>
      <c r="G20">
        <f t="shared" si="3"/>
        <v>10</v>
      </c>
      <c r="I20" cm="1">
        <f t="array" ref="I20">powerCalc3($A20,0,1)</f>
        <v>0.57000000000000006</v>
      </c>
      <c r="J20" cm="1">
        <f t="array" ref="J20">powerCalc3($A20,1,1)</f>
        <v>0</v>
      </c>
      <c r="K20">
        <f t="shared" si="1"/>
        <v>285.00000000000006</v>
      </c>
      <c r="L20">
        <f>J20*L$1</f>
        <v>0</v>
      </c>
      <c r="M20">
        <f t="shared" si="2"/>
        <v>285.00000000000006</v>
      </c>
      <c r="N20">
        <f t="shared" si="4"/>
        <v>15.000000000000057</v>
      </c>
    </row>
    <row r="21" spans="1:14" x14ac:dyDescent="0.25">
      <c r="A21">
        <v>0.2</v>
      </c>
      <c r="B21" cm="1">
        <f t="array" ref="B21">powerCalc2($A21,0,0)</f>
        <v>0.4</v>
      </c>
      <c r="C21" cm="1">
        <f t="array" ref="C21">powerCalc2($A21,1,0)</f>
        <v>0</v>
      </c>
      <c r="D21">
        <f>B21*D$1</f>
        <v>200</v>
      </c>
      <c r="E21">
        <f>C21*E$1</f>
        <v>0</v>
      </c>
      <c r="F21">
        <f t="shared" si="0"/>
        <v>200</v>
      </c>
      <c r="G21">
        <f t="shared" si="3"/>
        <v>10</v>
      </c>
      <c r="I21" cm="1">
        <f t="array" ref="I21">powerCalc3($A21,0,1)</f>
        <v>0.60000000000000009</v>
      </c>
      <c r="J21" cm="1">
        <f t="array" ref="J21">powerCalc3($A21,1,1)</f>
        <v>0</v>
      </c>
      <c r="K21">
        <f t="shared" si="1"/>
        <v>300.00000000000006</v>
      </c>
      <c r="L21">
        <f>J21*L$1</f>
        <v>0</v>
      </c>
      <c r="M21">
        <f t="shared" si="2"/>
        <v>300.00000000000006</v>
      </c>
      <c r="N21">
        <f t="shared" si="4"/>
        <v>15</v>
      </c>
    </row>
    <row r="22" spans="1:14" x14ac:dyDescent="0.25">
      <c r="A22">
        <v>0.21</v>
      </c>
      <c r="B22" cm="1">
        <f t="array" ref="B22">powerCalc2($A22,0,0)</f>
        <v>0.42</v>
      </c>
      <c r="C22" cm="1">
        <f t="array" ref="C22">powerCalc2($A22,1,0)</f>
        <v>0</v>
      </c>
      <c r="D22">
        <f>B22*D$1</f>
        <v>210</v>
      </c>
      <c r="E22">
        <f>C22*E$1</f>
        <v>0</v>
      </c>
      <c r="F22">
        <f t="shared" si="0"/>
        <v>210</v>
      </c>
      <c r="G22">
        <f t="shared" si="3"/>
        <v>10</v>
      </c>
      <c r="I22" cm="1">
        <f t="array" ref="I22">powerCalc3($A22,0,1)</f>
        <v>0.63</v>
      </c>
      <c r="J22" cm="1">
        <f t="array" ref="J22">powerCalc3($A22,1,1)</f>
        <v>0</v>
      </c>
      <c r="K22">
        <f t="shared" si="1"/>
        <v>315</v>
      </c>
      <c r="L22">
        <f>J22*L$1</f>
        <v>0</v>
      </c>
      <c r="M22">
        <f t="shared" si="2"/>
        <v>315</v>
      </c>
      <c r="N22">
        <f t="shared" si="4"/>
        <v>14.999999999999943</v>
      </c>
    </row>
    <row r="23" spans="1:14" x14ac:dyDescent="0.25">
      <c r="A23">
        <v>0.22</v>
      </c>
      <c r="B23" cm="1">
        <f t="array" ref="B23">powerCalc2($A23,0,0)</f>
        <v>0.44</v>
      </c>
      <c r="C23" cm="1">
        <f t="array" ref="C23">powerCalc2($A23,1,0)</f>
        <v>0</v>
      </c>
      <c r="D23">
        <f>B23*D$1</f>
        <v>220</v>
      </c>
      <c r="E23">
        <f>C23*E$1</f>
        <v>0</v>
      </c>
      <c r="F23">
        <f t="shared" si="0"/>
        <v>220</v>
      </c>
      <c r="G23">
        <f t="shared" si="3"/>
        <v>10</v>
      </c>
      <c r="I23" cm="1">
        <f t="array" ref="I23">powerCalc3($A23,0,1)</f>
        <v>0.66</v>
      </c>
      <c r="J23" cm="1">
        <f t="array" ref="J23">powerCalc3($A23,1,1)</f>
        <v>0</v>
      </c>
      <c r="K23">
        <f t="shared" si="1"/>
        <v>330</v>
      </c>
      <c r="L23">
        <f>J23*L$1</f>
        <v>0</v>
      </c>
      <c r="M23">
        <f t="shared" si="2"/>
        <v>330</v>
      </c>
      <c r="N23">
        <f t="shared" si="4"/>
        <v>15</v>
      </c>
    </row>
    <row r="24" spans="1:14" x14ac:dyDescent="0.25">
      <c r="A24">
        <v>0.23</v>
      </c>
      <c r="B24" cm="1">
        <f t="array" ref="B24">powerCalc2($A24,0,0)</f>
        <v>0.46</v>
      </c>
      <c r="C24" cm="1">
        <f t="array" ref="C24">powerCalc2($A24,1,0)</f>
        <v>0</v>
      </c>
      <c r="D24">
        <f>B24*D$1</f>
        <v>230</v>
      </c>
      <c r="E24">
        <f>C24*E$1</f>
        <v>0</v>
      </c>
      <c r="F24">
        <f t="shared" si="0"/>
        <v>230</v>
      </c>
      <c r="G24">
        <f t="shared" si="3"/>
        <v>10</v>
      </c>
      <c r="I24" cm="1">
        <f t="array" ref="I24">powerCalc3($A24,0,1)</f>
        <v>0.69000000000000006</v>
      </c>
      <c r="J24" cm="1">
        <f t="array" ref="J24">powerCalc3($A24,1,1)</f>
        <v>0</v>
      </c>
      <c r="K24">
        <f t="shared" si="1"/>
        <v>345.00000000000006</v>
      </c>
      <c r="L24">
        <f>J24*L$1</f>
        <v>0</v>
      </c>
      <c r="M24">
        <f t="shared" si="2"/>
        <v>345.00000000000006</v>
      </c>
      <c r="N24">
        <f t="shared" si="4"/>
        <v>15.000000000000057</v>
      </c>
    </row>
    <row r="25" spans="1:14" x14ac:dyDescent="0.25">
      <c r="A25">
        <v>0.24</v>
      </c>
      <c r="B25" cm="1">
        <f t="array" ref="B25">powerCalc2($A25,0,0)</f>
        <v>0.48</v>
      </c>
      <c r="C25" cm="1">
        <f t="array" ref="C25">powerCalc2($A25,1,0)</f>
        <v>0</v>
      </c>
      <c r="D25">
        <f>B25*D$1</f>
        <v>240</v>
      </c>
      <c r="E25">
        <f>C25*E$1</f>
        <v>0</v>
      </c>
      <c r="F25">
        <f t="shared" si="0"/>
        <v>240</v>
      </c>
      <c r="G25">
        <f t="shared" si="3"/>
        <v>10</v>
      </c>
      <c r="I25" cm="1">
        <f t="array" ref="I25">powerCalc3($A25,0,1)</f>
        <v>0.72</v>
      </c>
      <c r="J25" cm="1">
        <f t="array" ref="J25">powerCalc3($A25,1,1)</f>
        <v>0</v>
      </c>
      <c r="K25">
        <f t="shared" si="1"/>
        <v>360</v>
      </c>
      <c r="L25">
        <f>J25*L$1</f>
        <v>0</v>
      </c>
      <c r="M25">
        <f t="shared" si="2"/>
        <v>360</v>
      </c>
      <c r="N25">
        <f t="shared" si="4"/>
        <v>14.999999999999943</v>
      </c>
    </row>
    <row r="26" spans="1:14" x14ac:dyDescent="0.25">
      <c r="A26">
        <v>0.25</v>
      </c>
      <c r="B26" cm="1">
        <f t="array" ref="B26">powerCalc2($A26,0,0)</f>
        <v>0.5</v>
      </c>
      <c r="C26" cm="1">
        <f t="array" ref="C26">powerCalc2($A26,1,0)</f>
        <v>0</v>
      </c>
      <c r="D26">
        <f>B26*D$1</f>
        <v>250</v>
      </c>
      <c r="E26">
        <f>C26*E$1</f>
        <v>0</v>
      </c>
      <c r="F26">
        <f t="shared" si="0"/>
        <v>250</v>
      </c>
      <c r="G26">
        <f t="shared" si="3"/>
        <v>10</v>
      </c>
      <c r="I26" cm="1">
        <f t="array" ref="I26">powerCalc3($A26,0,1)</f>
        <v>0.75</v>
      </c>
      <c r="J26" cm="1">
        <f t="array" ref="J26">powerCalc3($A26,1,1)</f>
        <v>0</v>
      </c>
      <c r="K26">
        <f t="shared" si="1"/>
        <v>375</v>
      </c>
      <c r="L26">
        <f>J26*L$1</f>
        <v>0</v>
      </c>
      <c r="M26">
        <f t="shared" si="2"/>
        <v>375</v>
      </c>
      <c r="N26">
        <f t="shared" si="4"/>
        <v>15</v>
      </c>
    </row>
    <row r="27" spans="1:14" x14ac:dyDescent="0.25">
      <c r="A27">
        <v>0.26</v>
      </c>
      <c r="B27" cm="1">
        <f t="array" ref="B27">powerCalc2($A27,0,0)</f>
        <v>0.52</v>
      </c>
      <c r="C27" cm="1">
        <f t="array" ref="C27">powerCalc2($A27,1,0)</f>
        <v>0</v>
      </c>
      <c r="D27">
        <f>B27*D$1</f>
        <v>260</v>
      </c>
      <c r="E27">
        <f>C27*E$1</f>
        <v>0</v>
      </c>
      <c r="F27">
        <f t="shared" si="0"/>
        <v>260</v>
      </c>
      <c r="G27">
        <f t="shared" si="3"/>
        <v>10</v>
      </c>
      <c r="I27" cm="1">
        <f t="array" ref="I27">powerCalc3($A27,0,1)</f>
        <v>0.78</v>
      </c>
      <c r="J27" cm="1">
        <f t="array" ref="J27">powerCalc3($A27,1,1)</f>
        <v>0</v>
      </c>
      <c r="K27">
        <f t="shared" si="1"/>
        <v>390</v>
      </c>
      <c r="L27">
        <f>J27*L$1</f>
        <v>0</v>
      </c>
      <c r="M27">
        <f t="shared" si="2"/>
        <v>390</v>
      </c>
      <c r="N27">
        <f t="shared" si="4"/>
        <v>15</v>
      </c>
    </row>
    <row r="28" spans="1:14" x14ac:dyDescent="0.25">
      <c r="A28">
        <v>0.27</v>
      </c>
      <c r="B28" cm="1">
        <f t="array" ref="B28">powerCalc2($A28,0,0)</f>
        <v>0.54</v>
      </c>
      <c r="C28" cm="1">
        <f t="array" ref="C28">powerCalc2($A28,1,0)</f>
        <v>0</v>
      </c>
      <c r="D28">
        <f>B28*D$1</f>
        <v>270</v>
      </c>
      <c r="E28">
        <f>C28*E$1</f>
        <v>0</v>
      </c>
      <c r="F28">
        <f t="shared" si="0"/>
        <v>270</v>
      </c>
      <c r="G28">
        <f t="shared" si="3"/>
        <v>10</v>
      </c>
      <c r="I28" cm="1">
        <f t="array" ref="I28">powerCalc3($A28,0,1)</f>
        <v>0.81</v>
      </c>
      <c r="J28" cm="1">
        <f t="array" ref="J28">powerCalc3($A28,1,1)</f>
        <v>0</v>
      </c>
      <c r="K28">
        <f t="shared" si="1"/>
        <v>405</v>
      </c>
      <c r="L28">
        <f>J28*L$1</f>
        <v>0</v>
      </c>
      <c r="M28">
        <f t="shared" si="2"/>
        <v>405</v>
      </c>
      <c r="N28">
        <f t="shared" si="4"/>
        <v>15</v>
      </c>
    </row>
    <row r="29" spans="1:14" x14ac:dyDescent="0.25">
      <c r="A29">
        <v>0.28000000000000003</v>
      </c>
      <c r="B29" cm="1">
        <f t="array" ref="B29">powerCalc2($A29,0,0)</f>
        <v>0.56000000000000005</v>
      </c>
      <c r="C29" cm="1">
        <f t="array" ref="C29">powerCalc2($A29,1,0)</f>
        <v>0</v>
      </c>
      <c r="D29">
        <f>B29*D$1</f>
        <v>280</v>
      </c>
      <c r="E29">
        <f>C29*E$1</f>
        <v>0</v>
      </c>
      <c r="F29">
        <f t="shared" si="0"/>
        <v>280</v>
      </c>
      <c r="G29">
        <f t="shared" si="3"/>
        <v>10</v>
      </c>
      <c r="I29" cm="1">
        <f t="array" ref="I29">powerCalc3($A29,0,1)</f>
        <v>0.84000000000000008</v>
      </c>
      <c r="J29" cm="1">
        <f t="array" ref="J29">powerCalc3($A29,1,1)</f>
        <v>0</v>
      </c>
      <c r="K29">
        <f t="shared" si="1"/>
        <v>420.00000000000006</v>
      </c>
      <c r="L29">
        <f>J29*L$1</f>
        <v>0</v>
      </c>
      <c r="M29">
        <f t="shared" si="2"/>
        <v>420.00000000000006</v>
      </c>
      <c r="N29">
        <f t="shared" si="4"/>
        <v>15.000000000000057</v>
      </c>
    </row>
    <row r="30" spans="1:14" x14ac:dyDescent="0.25">
      <c r="A30">
        <v>0.28999999999999998</v>
      </c>
      <c r="B30" cm="1">
        <f t="array" ref="B30">powerCalc2($A30,0,0)</f>
        <v>0.57999999999999996</v>
      </c>
      <c r="C30" cm="1">
        <f t="array" ref="C30">powerCalc2($A30,1,0)</f>
        <v>0</v>
      </c>
      <c r="D30">
        <f>B30*D$1</f>
        <v>290</v>
      </c>
      <c r="E30">
        <f>C30*E$1</f>
        <v>0</v>
      </c>
      <c r="F30">
        <f t="shared" si="0"/>
        <v>290</v>
      </c>
      <c r="G30">
        <f t="shared" si="3"/>
        <v>10</v>
      </c>
      <c r="I30" cm="1">
        <f t="array" ref="I30">powerCalc3($A30,0,1)</f>
        <v>0.87</v>
      </c>
      <c r="J30" cm="1">
        <f t="array" ref="J30">powerCalc3($A30,1,1)</f>
        <v>0</v>
      </c>
      <c r="K30">
        <f t="shared" si="1"/>
        <v>435</v>
      </c>
      <c r="L30">
        <f>J30*L$1</f>
        <v>0</v>
      </c>
      <c r="M30">
        <f t="shared" si="2"/>
        <v>435</v>
      </c>
      <c r="N30">
        <f t="shared" si="4"/>
        <v>14.999999999999943</v>
      </c>
    </row>
    <row r="31" spans="1:14" x14ac:dyDescent="0.25">
      <c r="A31">
        <v>0.3</v>
      </c>
      <c r="B31" cm="1">
        <f t="array" ref="B31">powerCalc2($A31,0,0)</f>
        <v>0.6</v>
      </c>
      <c r="C31" cm="1">
        <f t="array" ref="C31">powerCalc2($A31,1,0)</f>
        <v>0</v>
      </c>
      <c r="D31">
        <f>B31*D$1</f>
        <v>300</v>
      </c>
      <c r="E31">
        <f>C31*E$1</f>
        <v>0</v>
      </c>
      <c r="F31">
        <f t="shared" si="0"/>
        <v>300</v>
      </c>
      <c r="G31">
        <f t="shared" si="3"/>
        <v>10</v>
      </c>
      <c r="I31" cm="1">
        <f t="array" ref="I31">powerCalc3($A31,0,1)</f>
        <v>0.9</v>
      </c>
      <c r="J31" cm="1">
        <f t="array" ref="J31">powerCalc3($A31,1,1)</f>
        <v>0</v>
      </c>
      <c r="K31">
        <f t="shared" si="1"/>
        <v>450</v>
      </c>
      <c r="L31">
        <f>J31*L$1</f>
        <v>0</v>
      </c>
      <c r="M31">
        <f t="shared" si="2"/>
        <v>450</v>
      </c>
      <c r="N31">
        <f t="shared" si="4"/>
        <v>15</v>
      </c>
    </row>
    <row r="32" spans="1:14" x14ac:dyDescent="0.25">
      <c r="A32">
        <v>0.31</v>
      </c>
      <c r="B32" cm="1">
        <f t="array" ref="B32">powerCalc2($A32,0,0)</f>
        <v>0.62</v>
      </c>
      <c r="C32" cm="1">
        <f t="array" ref="C32">powerCalc2($A32,1,0)</f>
        <v>0</v>
      </c>
      <c r="D32">
        <f>B32*D$1</f>
        <v>310</v>
      </c>
      <c r="E32">
        <f>C32*E$1</f>
        <v>0</v>
      </c>
      <c r="F32">
        <f t="shared" si="0"/>
        <v>310</v>
      </c>
      <c r="G32">
        <f t="shared" si="3"/>
        <v>10</v>
      </c>
      <c r="I32" cm="1">
        <f t="array" ref="I32">powerCalc3($A32,0,1)</f>
        <v>0.93</v>
      </c>
      <c r="J32" cm="1">
        <f t="array" ref="J32">powerCalc3($A32,1,1)</f>
        <v>0</v>
      </c>
      <c r="K32">
        <f t="shared" si="1"/>
        <v>465</v>
      </c>
      <c r="L32">
        <f>J32*L$1</f>
        <v>0</v>
      </c>
      <c r="M32">
        <f t="shared" si="2"/>
        <v>465</v>
      </c>
      <c r="N32">
        <f t="shared" si="4"/>
        <v>15</v>
      </c>
    </row>
    <row r="33" spans="1:14" x14ac:dyDescent="0.25">
      <c r="A33">
        <v>0.32</v>
      </c>
      <c r="B33" cm="1">
        <f t="array" ref="B33">powerCalc2($A33,0,0)</f>
        <v>0.64</v>
      </c>
      <c r="C33" cm="1">
        <f t="array" ref="C33">powerCalc2($A33,1,0)</f>
        <v>0</v>
      </c>
      <c r="D33">
        <f>B33*D$1</f>
        <v>320</v>
      </c>
      <c r="E33">
        <f>C33*E$1</f>
        <v>0</v>
      </c>
      <c r="F33">
        <f t="shared" si="0"/>
        <v>320</v>
      </c>
      <c r="G33">
        <f t="shared" si="3"/>
        <v>10</v>
      </c>
      <c r="I33" cm="1">
        <f t="array" ref="I33">powerCalc3($A33,0,1)</f>
        <v>0.96000000000000008</v>
      </c>
      <c r="J33" cm="1">
        <f t="array" ref="J33">powerCalc3($A33,1,1)</f>
        <v>0</v>
      </c>
      <c r="K33">
        <f t="shared" si="1"/>
        <v>480.00000000000006</v>
      </c>
      <c r="L33">
        <f>J33*L$1</f>
        <v>0</v>
      </c>
      <c r="M33">
        <f t="shared" si="2"/>
        <v>480.00000000000006</v>
      </c>
      <c r="N33">
        <f t="shared" si="4"/>
        <v>15.000000000000057</v>
      </c>
    </row>
    <row r="34" spans="1:14" x14ac:dyDescent="0.25">
      <c r="A34">
        <v>0.33</v>
      </c>
      <c r="B34" cm="1">
        <f t="array" ref="B34">powerCalc2($A34,0,0)</f>
        <v>0.66</v>
      </c>
      <c r="C34" cm="1">
        <f t="array" ref="C34">powerCalc2($A34,1,0)</f>
        <v>0</v>
      </c>
      <c r="D34">
        <f>B34*D$1</f>
        <v>330</v>
      </c>
      <c r="E34">
        <f>C34*E$1</f>
        <v>0</v>
      </c>
      <c r="F34">
        <f t="shared" si="0"/>
        <v>330</v>
      </c>
      <c r="G34">
        <f t="shared" si="3"/>
        <v>10</v>
      </c>
      <c r="I34" cm="1">
        <f t="array" ref="I34">powerCalc3($A34,0,1)</f>
        <v>0.9900000000000001</v>
      </c>
      <c r="J34" cm="1">
        <f t="array" ref="J34">powerCalc3($A34,1,1)</f>
        <v>0</v>
      </c>
      <c r="K34">
        <f t="shared" si="1"/>
        <v>495.00000000000006</v>
      </c>
      <c r="L34">
        <f>J34*L$1</f>
        <v>0</v>
      </c>
      <c r="M34">
        <f t="shared" si="2"/>
        <v>495.00000000000006</v>
      </c>
      <c r="N34">
        <f t="shared" si="4"/>
        <v>15</v>
      </c>
    </row>
    <row r="35" spans="1:14" x14ac:dyDescent="0.25">
      <c r="A35">
        <v>0.34</v>
      </c>
      <c r="B35" cm="1">
        <f t="array" ref="B35">powerCalc2($A35,0,0)</f>
        <v>0.68</v>
      </c>
      <c r="C35" cm="1">
        <f t="array" ref="C35">powerCalc2($A35,1,0)</f>
        <v>0</v>
      </c>
      <c r="D35">
        <f>B35*D$1</f>
        <v>340</v>
      </c>
      <c r="E35">
        <f>C35*E$1</f>
        <v>0</v>
      </c>
      <c r="F35">
        <f t="shared" si="0"/>
        <v>340</v>
      </c>
      <c r="G35">
        <f t="shared" si="3"/>
        <v>10</v>
      </c>
      <c r="I35" cm="1">
        <f t="array" ref="I35">powerCalc3($A35,0,1)</f>
        <v>0</v>
      </c>
      <c r="J35" cm="1">
        <f t="array" ref="J35">powerCalc3($A35,1,1)</f>
        <v>0.51000000000000012</v>
      </c>
      <c r="K35">
        <f t="shared" si="1"/>
        <v>0</v>
      </c>
      <c r="L35">
        <f>J35*L$1</f>
        <v>510.00000000000011</v>
      </c>
      <c r="M35">
        <f t="shared" si="2"/>
        <v>510.00000000000011</v>
      </c>
      <c r="N35">
        <f t="shared" si="4"/>
        <v>15.000000000000057</v>
      </c>
    </row>
    <row r="36" spans="1:14" x14ac:dyDescent="0.25">
      <c r="A36">
        <v>0.35</v>
      </c>
      <c r="B36" cm="1">
        <f t="array" ref="B36">powerCalc2($A36,0,0)</f>
        <v>0.7</v>
      </c>
      <c r="C36" cm="1">
        <f t="array" ref="C36">powerCalc2($A36,1,0)</f>
        <v>0</v>
      </c>
      <c r="D36">
        <f>B36*D$1</f>
        <v>350</v>
      </c>
      <c r="E36">
        <f>C36*E$1</f>
        <v>0</v>
      </c>
      <c r="F36">
        <f t="shared" si="0"/>
        <v>350</v>
      </c>
      <c r="G36">
        <f t="shared" si="3"/>
        <v>10</v>
      </c>
      <c r="I36" cm="1">
        <f t="array" ref="I36">powerCalc3($A36,0,1)</f>
        <v>0</v>
      </c>
      <c r="J36" cm="1">
        <f t="array" ref="J36">powerCalc3($A36,1,1)</f>
        <v>0.52500000000000002</v>
      </c>
      <c r="K36">
        <f t="shared" si="1"/>
        <v>0</v>
      </c>
      <c r="L36">
        <f>J36*L$1</f>
        <v>525</v>
      </c>
      <c r="M36">
        <f t="shared" si="2"/>
        <v>525</v>
      </c>
      <c r="N36">
        <f t="shared" si="4"/>
        <v>14.999999999999886</v>
      </c>
    </row>
    <row r="37" spans="1:14" x14ac:dyDescent="0.25">
      <c r="A37">
        <v>0.36</v>
      </c>
      <c r="B37" cm="1">
        <f t="array" ref="B37">powerCalc2($A37,0,0)</f>
        <v>0.72</v>
      </c>
      <c r="C37" cm="1">
        <f t="array" ref="C37">powerCalc2($A37,1,0)</f>
        <v>0</v>
      </c>
      <c r="D37">
        <f>B37*D$1</f>
        <v>360</v>
      </c>
      <c r="E37">
        <f>C37*E$1</f>
        <v>0</v>
      </c>
      <c r="F37">
        <f t="shared" si="0"/>
        <v>360</v>
      </c>
      <c r="G37">
        <f t="shared" si="3"/>
        <v>10</v>
      </c>
      <c r="I37" cm="1">
        <f t="array" ref="I37">powerCalc3($A37,0,1)</f>
        <v>0</v>
      </c>
      <c r="J37" cm="1">
        <f t="array" ref="J37">powerCalc3($A37,1,1)</f>
        <v>0.54</v>
      </c>
      <c r="K37">
        <f t="shared" si="1"/>
        <v>0</v>
      </c>
      <c r="L37">
        <f>J37*L$1</f>
        <v>540</v>
      </c>
      <c r="M37">
        <f t="shared" si="2"/>
        <v>540</v>
      </c>
      <c r="N37">
        <f t="shared" si="4"/>
        <v>15</v>
      </c>
    </row>
    <row r="38" spans="1:14" x14ac:dyDescent="0.25">
      <c r="A38">
        <v>0.37</v>
      </c>
      <c r="B38" cm="1">
        <f t="array" ref="B38">powerCalc2($A38,0,0)</f>
        <v>0.74</v>
      </c>
      <c r="C38" cm="1">
        <f t="array" ref="C38">powerCalc2($A38,1,0)</f>
        <v>0</v>
      </c>
      <c r="D38">
        <f>B38*D$1</f>
        <v>370</v>
      </c>
      <c r="E38">
        <f>C38*E$1</f>
        <v>0</v>
      </c>
      <c r="F38">
        <f t="shared" si="0"/>
        <v>370</v>
      </c>
      <c r="G38">
        <f t="shared" si="3"/>
        <v>10</v>
      </c>
      <c r="I38" cm="1">
        <f t="array" ref="I38">powerCalc3($A38,0,1)</f>
        <v>0</v>
      </c>
      <c r="J38" cm="1">
        <f t="array" ref="J38">powerCalc3($A38,1,1)</f>
        <v>0.55500000000000005</v>
      </c>
      <c r="K38">
        <f t="shared" si="1"/>
        <v>0</v>
      </c>
      <c r="L38">
        <f>J38*L$1</f>
        <v>555</v>
      </c>
      <c r="M38">
        <f t="shared" si="2"/>
        <v>555</v>
      </c>
      <c r="N38">
        <f t="shared" si="4"/>
        <v>15</v>
      </c>
    </row>
    <row r="39" spans="1:14" x14ac:dyDescent="0.25">
      <c r="A39">
        <v>0.38</v>
      </c>
      <c r="B39" cm="1">
        <f t="array" ref="B39">powerCalc2($A39,0,0)</f>
        <v>0.76</v>
      </c>
      <c r="C39" cm="1">
        <f t="array" ref="C39">powerCalc2($A39,1,0)</f>
        <v>0</v>
      </c>
      <c r="D39">
        <f>B39*D$1</f>
        <v>380</v>
      </c>
      <c r="E39">
        <f>C39*E$1</f>
        <v>0</v>
      </c>
      <c r="F39">
        <f t="shared" si="0"/>
        <v>380</v>
      </c>
      <c r="G39">
        <f t="shared" si="3"/>
        <v>10</v>
      </c>
      <c r="I39" cm="1">
        <f t="array" ref="I39">powerCalc3($A39,0,1)</f>
        <v>0</v>
      </c>
      <c r="J39" cm="1">
        <f t="array" ref="J39">powerCalc3($A39,1,1)</f>
        <v>0.57000000000000006</v>
      </c>
      <c r="K39">
        <f t="shared" si="1"/>
        <v>0</v>
      </c>
      <c r="L39">
        <f>J39*L$1</f>
        <v>570.00000000000011</v>
      </c>
      <c r="M39">
        <f t="shared" si="2"/>
        <v>570.00000000000011</v>
      </c>
      <c r="N39">
        <f t="shared" si="4"/>
        <v>15.000000000000114</v>
      </c>
    </row>
    <row r="40" spans="1:14" x14ac:dyDescent="0.25">
      <c r="A40">
        <v>0.39</v>
      </c>
      <c r="B40" cm="1">
        <f t="array" ref="B40">powerCalc2($A40,0,0)</f>
        <v>0.78</v>
      </c>
      <c r="C40" cm="1">
        <f t="array" ref="C40">powerCalc2($A40,1,0)</f>
        <v>0</v>
      </c>
      <c r="D40">
        <f>B40*D$1</f>
        <v>390</v>
      </c>
      <c r="E40">
        <f>C40*E$1</f>
        <v>0</v>
      </c>
      <c r="F40">
        <f t="shared" si="0"/>
        <v>390</v>
      </c>
      <c r="G40">
        <f t="shared" si="3"/>
        <v>10</v>
      </c>
      <c r="I40" cm="1">
        <f t="array" ref="I40">powerCalc3($A40,0,1)</f>
        <v>0</v>
      </c>
      <c r="J40" cm="1">
        <f t="array" ref="J40">powerCalc3($A40,1,1)</f>
        <v>0.58500000000000008</v>
      </c>
      <c r="K40">
        <f t="shared" si="1"/>
        <v>0</v>
      </c>
      <c r="L40">
        <f>J40*L$1</f>
        <v>585.00000000000011</v>
      </c>
      <c r="M40">
        <f t="shared" si="2"/>
        <v>585.00000000000011</v>
      </c>
      <c r="N40">
        <f t="shared" si="4"/>
        <v>15</v>
      </c>
    </row>
    <row r="41" spans="1:14" x14ac:dyDescent="0.25">
      <c r="A41">
        <v>0.4</v>
      </c>
      <c r="B41" cm="1">
        <f t="array" ref="B41">powerCalc2($A41,0,0)</f>
        <v>0.8</v>
      </c>
      <c r="C41" cm="1">
        <f t="array" ref="C41">powerCalc2($A41,1,0)</f>
        <v>0</v>
      </c>
      <c r="D41">
        <f>B41*D$1</f>
        <v>400</v>
      </c>
      <c r="E41">
        <f>C41*E$1</f>
        <v>0</v>
      </c>
      <c r="F41">
        <f t="shared" si="0"/>
        <v>400</v>
      </c>
      <c r="G41">
        <f t="shared" si="3"/>
        <v>10</v>
      </c>
      <c r="I41" cm="1">
        <f t="array" ref="I41">powerCalc3($A41,0,1)</f>
        <v>0</v>
      </c>
      <c r="J41" cm="1">
        <f t="array" ref="J41">powerCalc3($A41,1,1)</f>
        <v>0.60000000000000009</v>
      </c>
      <c r="K41">
        <f t="shared" si="1"/>
        <v>0</v>
      </c>
      <c r="L41">
        <f>J41*L$1</f>
        <v>600.00000000000011</v>
      </c>
      <c r="M41">
        <f t="shared" si="2"/>
        <v>600.00000000000011</v>
      </c>
      <c r="N41">
        <f t="shared" si="4"/>
        <v>15</v>
      </c>
    </row>
    <row r="42" spans="1:14" x14ac:dyDescent="0.25">
      <c r="A42">
        <v>0.41</v>
      </c>
      <c r="B42" cm="1">
        <f t="array" ref="B42">powerCalc2($A42,0,0)</f>
        <v>0.82</v>
      </c>
      <c r="C42" cm="1">
        <f t="array" ref="C42">powerCalc2($A42,1,0)</f>
        <v>0</v>
      </c>
      <c r="D42">
        <f>B42*D$1</f>
        <v>410</v>
      </c>
      <c r="E42">
        <f>C42*E$1</f>
        <v>0</v>
      </c>
      <c r="F42">
        <f t="shared" si="0"/>
        <v>410</v>
      </c>
      <c r="G42">
        <f t="shared" si="3"/>
        <v>10</v>
      </c>
      <c r="I42" cm="1">
        <f t="array" ref="I42">powerCalc3($A42,0,1)</f>
        <v>0</v>
      </c>
      <c r="J42" cm="1">
        <f t="array" ref="J42">powerCalc3($A42,1,1)</f>
        <v>0.61499999999999999</v>
      </c>
      <c r="K42">
        <f t="shared" si="1"/>
        <v>0</v>
      </c>
      <c r="L42">
        <f>J42*L$1</f>
        <v>615</v>
      </c>
      <c r="M42">
        <f t="shared" si="2"/>
        <v>615</v>
      </c>
      <c r="N42">
        <f t="shared" si="4"/>
        <v>14.999999999999886</v>
      </c>
    </row>
    <row r="43" spans="1:14" x14ac:dyDescent="0.25">
      <c r="A43">
        <v>0.42</v>
      </c>
      <c r="B43" cm="1">
        <f t="array" ref="B43">powerCalc2($A43,0,0)</f>
        <v>0.84</v>
      </c>
      <c r="C43" cm="1">
        <f t="array" ref="C43">powerCalc2($A43,1,0)</f>
        <v>0</v>
      </c>
      <c r="D43">
        <f>B43*D$1</f>
        <v>420</v>
      </c>
      <c r="E43">
        <f>C43*E$1</f>
        <v>0</v>
      </c>
      <c r="F43">
        <f t="shared" si="0"/>
        <v>420</v>
      </c>
      <c r="G43">
        <f t="shared" si="3"/>
        <v>10</v>
      </c>
      <c r="I43" cm="1">
        <f t="array" ref="I43">powerCalc3($A43,0,1)</f>
        <v>0</v>
      </c>
      <c r="J43" cm="1">
        <f t="array" ref="J43">powerCalc3($A43,1,1)</f>
        <v>0.63</v>
      </c>
      <c r="K43">
        <f t="shared" si="1"/>
        <v>0</v>
      </c>
      <c r="L43">
        <f>J43*L$1</f>
        <v>630</v>
      </c>
      <c r="M43">
        <f t="shared" si="2"/>
        <v>630</v>
      </c>
      <c r="N43">
        <f t="shared" si="4"/>
        <v>15</v>
      </c>
    </row>
    <row r="44" spans="1:14" x14ac:dyDescent="0.25">
      <c r="A44">
        <v>0.43</v>
      </c>
      <c r="B44" cm="1">
        <f t="array" ref="B44">powerCalc2($A44,0,0)</f>
        <v>0.86</v>
      </c>
      <c r="C44" cm="1">
        <f t="array" ref="C44">powerCalc2($A44,1,0)</f>
        <v>0</v>
      </c>
      <c r="D44">
        <f>B44*D$1</f>
        <v>430</v>
      </c>
      <c r="E44">
        <f>C44*E$1</f>
        <v>0</v>
      </c>
      <c r="F44">
        <f t="shared" si="0"/>
        <v>430</v>
      </c>
      <c r="G44">
        <f t="shared" si="3"/>
        <v>10</v>
      </c>
      <c r="I44" cm="1">
        <f t="array" ref="I44">powerCalc3($A44,0,1)</f>
        <v>0</v>
      </c>
      <c r="J44" cm="1">
        <f t="array" ref="J44">powerCalc3($A44,1,1)</f>
        <v>0.64500000000000002</v>
      </c>
      <c r="K44">
        <f t="shared" si="1"/>
        <v>0</v>
      </c>
      <c r="L44">
        <f>J44*L$1</f>
        <v>645</v>
      </c>
      <c r="M44">
        <f t="shared" si="2"/>
        <v>645</v>
      </c>
      <c r="N44">
        <f t="shared" si="4"/>
        <v>15</v>
      </c>
    </row>
    <row r="45" spans="1:14" x14ac:dyDescent="0.25">
      <c r="A45">
        <v>0.44</v>
      </c>
      <c r="B45" cm="1">
        <f t="array" ref="B45">powerCalc2($A45,0,0)</f>
        <v>0.88</v>
      </c>
      <c r="C45" cm="1">
        <f t="array" ref="C45">powerCalc2($A45,1,0)</f>
        <v>0</v>
      </c>
      <c r="D45">
        <f>B45*D$1</f>
        <v>440</v>
      </c>
      <c r="E45">
        <f>C45*E$1</f>
        <v>0</v>
      </c>
      <c r="F45">
        <f t="shared" si="0"/>
        <v>440</v>
      </c>
      <c r="G45">
        <f t="shared" si="3"/>
        <v>10</v>
      </c>
      <c r="I45" cm="1">
        <f t="array" ref="I45">powerCalc3($A45,0,1)</f>
        <v>0</v>
      </c>
      <c r="J45" cm="1">
        <f t="array" ref="J45">powerCalc3($A45,1,1)</f>
        <v>0.66</v>
      </c>
      <c r="K45">
        <f t="shared" si="1"/>
        <v>0</v>
      </c>
      <c r="L45">
        <f>J45*L$1</f>
        <v>660</v>
      </c>
      <c r="M45">
        <f t="shared" si="2"/>
        <v>660</v>
      </c>
      <c r="N45">
        <f t="shared" si="4"/>
        <v>15</v>
      </c>
    </row>
    <row r="46" spans="1:14" x14ac:dyDescent="0.25">
      <c r="A46">
        <v>0.45</v>
      </c>
      <c r="B46" cm="1">
        <f t="array" ref="B46">powerCalc2($A46,0,0)</f>
        <v>0.9</v>
      </c>
      <c r="C46" cm="1">
        <f t="array" ref="C46">powerCalc2($A46,1,0)</f>
        <v>0</v>
      </c>
      <c r="D46">
        <f>B46*D$1</f>
        <v>450</v>
      </c>
      <c r="E46">
        <f>C46*E$1</f>
        <v>0</v>
      </c>
      <c r="F46">
        <f t="shared" si="0"/>
        <v>450</v>
      </c>
      <c r="G46">
        <f t="shared" si="3"/>
        <v>10</v>
      </c>
      <c r="I46" cm="1">
        <f t="array" ref="I46">powerCalc3($A46,0,1)</f>
        <v>0</v>
      </c>
      <c r="J46" cm="1">
        <f t="array" ref="J46">powerCalc3($A46,1,1)</f>
        <v>0.67500000000000004</v>
      </c>
      <c r="K46">
        <f t="shared" si="1"/>
        <v>0</v>
      </c>
      <c r="L46">
        <f>J46*L$1</f>
        <v>675</v>
      </c>
      <c r="M46">
        <f t="shared" si="2"/>
        <v>675</v>
      </c>
      <c r="N46">
        <f t="shared" si="4"/>
        <v>15</v>
      </c>
    </row>
    <row r="47" spans="1:14" x14ac:dyDescent="0.25">
      <c r="A47">
        <v>0.46</v>
      </c>
      <c r="B47" cm="1">
        <f t="array" ref="B47">powerCalc2($A47,0,0)</f>
        <v>0.92</v>
      </c>
      <c r="C47" cm="1">
        <f t="array" ref="C47">powerCalc2($A47,1,0)</f>
        <v>0</v>
      </c>
      <c r="D47">
        <f>B47*D$1</f>
        <v>460</v>
      </c>
      <c r="E47">
        <f>C47*E$1</f>
        <v>0</v>
      </c>
      <c r="F47">
        <f t="shared" si="0"/>
        <v>460</v>
      </c>
      <c r="G47">
        <f t="shared" si="3"/>
        <v>10</v>
      </c>
      <c r="I47" cm="1">
        <f t="array" ref="I47">powerCalc3($A47,0,1)</f>
        <v>0</v>
      </c>
      <c r="J47" cm="1">
        <f t="array" ref="J47">powerCalc3($A47,1,1)</f>
        <v>0.69000000000000006</v>
      </c>
      <c r="K47">
        <f t="shared" si="1"/>
        <v>0</v>
      </c>
      <c r="L47">
        <f>J47*L$1</f>
        <v>690.00000000000011</v>
      </c>
      <c r="M47">
        <f t="shared" si="2"/>
        <v>690.00000000000011</v>
      </c>
      <c r="N47">
        <f t="shared" si="4"/>
        <v>15.000000000000114</v>
      </c>
    </row>
    <row r="48" spans="1:14" x14ac:dyDescent="0.25">
      <c r="A48">
        <v>0.47</v>
      </c>
      <c r="B48" cm="1">
        <f t="array" ref="B48">powerCalc2($A48,0,0)</f>
        <v>0.94</v>
      </c>
      <c r="C48" cm="1">
        <f t="array" ref="C48">powerCalc2($A48,1,0)</f>
        <v>0</v>
      </c>
      <c r="D48">
        <f>B48*D$1</f>
        <v>470</v>
      </c>
      <c r="E48">
        <f>C48*E$1</f>
        <v>0</v>
      </c>
      <c r="F48">
        <f t="shared" si="0"/>
        <v>470</v>
      </c>
      <c r="G48">
        <f t="shared" si="3"/>
        <v>10</v>
      </c>
      <c r="I48" cm="1">
        <f t="array" ref="I48">powerCalc3($A48,0,1)</f>
        <v>0</v>
      </c>
      <c r="J48" cm="1">
        <f t="array" ref="J48">powerCalc3($A48,1,1)</f>
        <v>0.70499999999999996</v>
      </c>
      <c r="K48">
        <f t="shared" si="1"/>
        <v>0</v>
      </c>
      <c r="L48">
        <f>J48*L$1</f>
        <v>705</v>
      </c>
      <c r="M48">
        <f t="shared" si="2"/>
        <v>705</v>
      </c>
      <c r="N48">
        <f t="shared" si="4"/>
        <v>14.999999999999886</v>
      </c>
    </row>
    <row r="49" spans="1:14" x14ac:dyDescent="0.25">
      <c r="A49">
        <v>0.48</v>
      </c>
      <c r="B49" cm="1">
        <f t="array" ref="B49">powerCalc2($A49,0,0)</f>
        <v>0.96</v>
      </c>
      <c r="C49" cm="1">
        <f t="array" ref="C49">powerCalc2($A49,1,0)</f>
        <v>0</v>
      </c>
      <c r="D49">
        <f>B49*D$1</f>
        <v>480</v>
      </c>
      <c r="E49">
        <f>C49*E$1</f>
        <v>0</v>
      </c>
      <c r="F49">
        <f t="shared" si="0"/>
        <v>480</v>
      </c>
      <c r="G49">
        <f t="shared" si="3"/>
        <v>10</v>
      </c>
      <c r="I49" cm="1">
        <f t="array" ref="I49">powerCalc3($A49,0,1)</f>
        <v>0</v>
      </c>
      <c r="J49" cm="1">
        <f t="array" ref="J49">powerCalc3($A49,1,1)</f>
        <v>0.72</v>
      </c>
      <c r="K49">
        <f t="shared" si="1"/>
        <v>0</v>
      </c>
      <c r="L49">
        <f>J49*L$1</f>
        <v>720</v>
      </c>
      <c r="M49">
        <f t="shared" si="2"/>
        <v>720</v>
      </c>
      <c r="N49">
        <f t="shared" si="4"/>
        <v>15</v>
      </c>
    </row>
    <row r="50" spans="1:14" x14ac:dyDescent="0.25">
      <c r="A50">
        <v>0.49</v>
      </c>
      <c r="B50" cm="1">
        <f t="array" ref="B50">powerCalc2($A50,0,0)</f>
        <v>0.98</v>
      </c>
      <c r="C50" cm="1">
        <f t="array" ref="C50">powerCalc2($A50,1,0)</f>
        <v>0</v>
      </c>
      <c r="D50">
        <f>B50*D$1</f>
        <v>490</v>
      </c>
      <c r="E50">
        <f>C50*E$1</f>
        <v>0</v>
      </c>
      <c r="F50">
        <f t="shared" si="0"/>
        <v>490</v>
      </c>
      <c r="G50">
        <f t="shared" si="3"/>
        <v>10</v>
      </c>
      <c r="I50" cm="1">
        <f t="array" ref="I50">powerCalc3($A50,0,1)</f>
        <v>0</v>
      </c>
      <c r="J50" cm="1">
        <f t="array" ref="J50">powerCalc3($A50,1,1)</f>
        <v>0.73499999999999999</v>
      </c>
      <c r="K50">
        <f t="shared" si="1"/>
        <v>0</v>
      </c>
      <c r="L50">
        <f>J50*L$1</f>
        <v>735</v>
      </c>
      <c r="M50">
        <f t="shared" si="2"/>
        <v>735</v>
      </c>
      <c r="N50">
        <f t="shared" si="4"/>
        <v>15</v>
      </c>
    </row>
    <row r="51" spans="1:14" x14ac:dyDescent="0.25">
      <c r="A51">
        <v>0.5</v>
      </c>
      <c r="B51" cm="1">
        <f t="array" ref="B51">powerCalc2($A51,0,0)</f>
        <v>1</v>
      </c>
      <c r="C51" cm="1">
        <f t="array" ref="C51">powerCalc2($A51,1,0)</f>
        <v>0</v>
      </c>
      <c r="D51">
        <f>B51*D$1</f>
        <v>500</v>
      </c>
      <c r="E51">
        <f>C51*E$1</f>
        <v>0</v>
      </c>
      <c r="F51">
        <f t="shared" si="0"/>
        <v>500</v>
      </c>
      <c r="G51">
        <f t="shared" si="3"/>
        <v>10</v>
      </c>
      <c r="I51" cm="1">
        <f t="array" ref="I51">powerCalc3($A51,0,1)</f>
        <v>0</v>
      </c>
      <c r="J51" cm="1">
        <f t="array" ref="J51">powerCalc3($A51,1,1)</f>
        <v>0.75</v>
      </c>
      <c r="K51">
        <f t="shared" si="1"/>
        <v>0</v>
      </c>
      <c r="L51">
        <f>J51*L$1</f>
        <v>750</v>
      </c>
      <c r="M51">
        <f t="shared" si="2"/>
        <v>750</v>
      </c>
      <c r="N51">
        <f t="shared" si="4"/>
        <v>15</v>
      </c>
    </row>
    <row r="52" spans="1:14" x14ac:dyDescent="0.25">
      <c r="A52">
        <v>0.51</v>
      </c>
      <c r="B52" cm="1">
        <f t="array" ref="B52">powerCalc2($A52,0,0)</f>
        <v>0</v>
      </c>
      <c r="C52" cm="1">
        <f t="array" ref="C52">powerCalc2($A52,1,0)</f>
        <v>0.52</v>
      </c>
      <c r="D52">
        <f>B52*D$1</f>
        <v>0</v>
      </c>
      <c r="E52">
        <f>C52*E$1</f>
        <v>520</v>
      </c>
      <c r="F52">
        <f t="shared" si="0"/>
        <v>520</v>
      </c>
      <c r="G52">
        <f t="shared" si="3"/>
        <v>20</v>
      </c>
      <c r="I52" cm="1">
        <f t="array" ref="I52">powerCalc3($A52,0,1)</f>
        <v>0</v>
      </c>
      <c r="J52" cm="1">
        <f t="array" ref="J52">powerCalc3($A52,1,1)</f>
        <v>0.76500000000000001</v>
      </c>
      <c r="K52">
        <f t="shared" si="1"/>
        <v>0</v>
      </c>
      <c r="L52">
        <f>J52*L$1</f>
        <v>765</v>
      </c>
      <c r="M52">
        <f t="shared" si="2"/>
        <v>765</v>
      </c>
      <c r="N52">
        <f t="shared" si="4"/>
        <v>15</v>
      </c>
    </row>
    <row r="53" spans="1:14" x14ac:dyDescent="0.25">
      <c r="A53">
        <v>0.52</v>
      </c>
      <c r="B53" cm="1">
        <f t="array" ref="B53">powerCalc2($A53,0,0)</f>
        <v>0</v>
      </c>
      <c r="C53" cm="1">
        <f t="array" ref="C53">powerCalc2($A53,1,0)</f>
        <v>0.54</v>
      </c>
      <c r="D53">
        <f>B53*D$1</f>
        <v>0</v>
      </c>
      <c r="E53">
        <f>C53*E$1</f>
        <v>540</v>
      </c>
      <c r="F53">
        <f t="shared" si="0"/>
        <v>540</v>
      </c>
      <c r="G53">
        <f t="shared" si="3"/>
        <v>20</v>
      </c>
      <c r="I53" cm="1">
        <f t="array" ref="I53">powerCalc3($A53,0,1)</f>
        <v>0</v>
      </c>
      <c r="J53" cm="1">
        <f t="array" ref="J53">powerCalc3($A53,1,1)</f>
        <v>0.78</v>
      </c>
      <c r="K53">
        <f t="shared" si="1"/>
        <v>0</v>
      </c>
      <c r="L53">
        <f>J53*L$1</f>
        <v>780</v>
      </c>
      <c r="M53">
        <f t="shared" si="2"/>
        <v>780</v>
      </c>
      <c r="N53">
        <f t="shared" si="4"/>
        <v>15</v>
      </c>
    </row>
    <row r="54" spans="1:14" x14ac:dyDescent="0.25">
      <c r="A54">
        <v>0.53</v>
      </c>
      <c r="B54" cm="1">
        <f t="array" ref="B54">powerCalc2($A54,0,0)</f>
        <v>0</v>
      </c>
      <c r="C54" cm="1">
        <f t="array" ref="C54">powerCalc2($A54,1,0)</f>
        <v>0.56000000000000005</v>
      </c>
      <c r="D54">
        <f>B54*D$1</f>
        <v>0</v>
      </c>
      <c r="E54">
        <f>C54*E$1</f>
        <v>560</v>
      </c>
      <c r="F54">
        <f t="shared" si="0"/>
        <v>560</v>
      </c>
      <c r="G54">
        <f t="shared" si="3"/>
        <v>20</v>
      </c>
      <c r="I54" cm="1">
        <f t="array" ref="I54">powerCalc3($A54,0,1)</f>
        <v>0</v>
      </c>
      <c r="J54" cm="1">
        <f t="array" ref="J54">powerCalc3($A54,1,1)</f>
        <v>0.79500000000000004</v>
      </c>
      <c r="K54">
        <f t="shared" si="1"/>
        <v>0</v>
      </c>
      <c r="L54">
        <f>J54*L$1</f>
        <v>795</v>
      </c>
      <c r="M54">
        <f t="shared" si="2"/>
        <v>795</v>
      </c>
      <c r="N54">
        <f t="shared" si="4"/>
        <v>15</v>
      </c>
    </row>
    <row r="55" spans="1:14" x14ac:dyDescent="0.25">
      <c r="A55">
        <v>0.54</v>
      </c>
      <c r="B55" cm="1">
        <f t="array" ref="B55">powerCalc2($A55,0,0)</f>
        <v>0</v>
      </c>
      <c r="C55" cm="1">
        <f t="array" ref="C55">powerCalc2($A55,1,0)</f>
        <v>0.58000000000000007</v>
      </c>
      <c r="D55">
        <f>B55*D$1</f>
        <v>0</v>
      </c>
      <c r="E55">
        <f>C55*E$1</f>
        <v>580.00000000000011</v>
      </c>
      <c r="F55">
        <f t="shared" si="0"/>
        <v>580.00000000000011</v>
      </c>
      <c r="G55">
        <f t="shared" si="3"/>
        <v>20.000000000000114</v>
      </c>
      <c r="I55" cm="1">
        <f t="array" ref="I55">powerCalc3($A55,0,1)</f>
        <v>0</v>
      </c>
      <c r="J55" cm="1">
        <f t="array" ref="J55">powerCalc3($A55,1,1)</f>
        <v>0.81</v>
      </c>
      <c r="K55">
        <f t="shared" si="1"/>
        <v>0</v>
      </c>
      <c r="L55">
        <f>J55*L$1</f>
        <v>810</v>
      </c>
      <c r="M55">
        <f t="shared" si="2"/>
        <v>810</v>
      </c>
      <c r="N55">
        <f t="shared" si="4"/>
        <v>15</v>
      </c>
    </row>
    <row r="56" spans="1:14" x14ac:dyDescent="0.25">
      <c r="A56">
        <v>0.55000000000000004</v>
      </c>
      <c r="B56" cm="1">
        <f t="array" ref="B56">powerCalc2($A56,0,0)</f>
        <v>0</v>
      </c>
      <c r="C56" cm="1">
        <f t="array" ref="C56">powerCalc2($A56,1,0)</f>
        <v>0.60000000000000009</v>
      </c>
      <c r="D56">
        <f>B56*D$1</f>
        <v>0</v>
      </c>
      <c r="E56">
        <f>C56*E$1</f>
        <v>600.00000000000011</v>
      </c>
      <c r="F56">
        <f t="shared" si="0"/>
        <v>600.00000000000011</v>
      </c>
      <c r="G56">
        <f t="shared" si="3"/>
        <v>20</v>
      </c>
      <c r="I56" cm="1">
        <f t="array" ref="I56">powerCalc3($A56,0,1)</f>
        <v>0</v>
      </c>
      <c r="J56" cm="1">
        <f t="array" ref="J56">powerCalc3($A56,1,1)</f>
        <v>0.82500000000000007</v>
      </c>
      <c r="K56">
        <f t="shared" si="1"/>
        <v>0</v>
      </c>
      <c r="L56">
        <f>J56*L$1</f>
        <v>825.00000000000011</v>
      </c>
      <c r="M56">
        <f t="shared" si="2"/>
        <v>825.00000000000011</v>
      </c>
      <c r="N56">
        <f t="shared" si="4"/>
        <v>15.000000000000114</v>
      </c>
    </row>
    <row r="57" spans="1:14" x14ac:dyDescent="0.25">
      <c r="A57">
        <v>0.56000000000000005</v>
      </c>
      <c r="B57" cm="1">
        <f t="array" ref="B57">powerCalc2($A57,0,0)</f>
        <v>0</v>
      </c>
      <c r="C57" cm="1">
        <f t="array" ref="C57">powerCalc2($A57,1,0)</f>
        <v>0.62000000000000011</v>
      </c>
      <c r="D57">
        <f>B57*D$1</f>
        <v>0</v>
      </c>
      <c r="E57">
        <f>C57*E$1</f>
        <v>620.00000000000011</v>
      </c>
      <c r="F57">
        <f t="shared" si="0"/>
        <v>620.00000000000011</v>
      </c>
      <c r="G57">
        <f t="shared" si="3"/>
        <v>20</v>
      </c>
      <c r="I57" cm="1">
        <f t="array" ref="I57">powerCalc3($A57,0,1)</f>
        <v>0</v>
      </c>
      <c r="J57" cm="1">
        <f t="array" ref="J57">powerCalc3($A57,1,1)</f>
        <v>0.84000000000000008</v>
      </c>
      <c r="K57">
        <f t="shared" si="1"/>
        <v>0</v>
      </c>
      <c r="L57">
        <f>J57*L$1</f>
        <v>840.00000000000011</v>
      </c>
      <c r="M57">
        <f t="shared" si="2"/>
        <v>840.00000000000011</v>
      </c>
      <c r="N57">
        <f t="shared" si="4"/>
        <v>15</v>
      </c>
    </row>
    <row r="58" spans="1:14" x14ac:dyDescent="0.25">
      <c r="A58">
        <v>0.56999999999999995</v>
      </c>
      <c r="B58" cm="1">
        <f t="array" ref="B58">powerCalc2($A58,0,0)</f>
        <v>0</v>
      </c>
      <c r="C58" cm="1">
        <f t="array" ref="C58">powerCalc2($A58,1,0)</f>
        <v>0.6399999999999999</v>
      </c>
      <c r="D58">
        <f>B58*D$1</f>
        <v>0</v>
      </c>
      <c r="E58">
        <f>C58*E$1</f>
        <v>639.99999999999989</v>
      </c>
      <c r="F58">
        <f t="shared" si="0"/>
        <v>639.99999999999989</v>
      </c>
      <c r="G58">
        <f t="shared" si="3"/>
        <v>19.999999999999773</v>
      </c>
      <c r="I58" cm="1">
        <f t="array" ref="I58">powerCalc3($A58,0,1)</f>
        <v>0</v>
      </c>
      <c r="J58" cm="1">
        <f t="array" ref="J58">powerCalc3($A58,1,1)</f>
        <v>0.85499999999999998</v>
      </c>
      <c r="K58">
        <f t="shared" si="1"/>
        <v>0</v>
      </c>
      <c r="L58">
        <f>J58*L$1</f>
        <v>855</v>
      </c>
      <c r="M58">
        <f t="shared" si="2"/>
        <v>855</v>
      </c>
      <c r="N58">
        <f t="shared" si="4"/>
        <v>14.999999999999886</v>
      </c>
    </row>
    <row r="59" spans="1:14" x14ac:dyDescent="0.25">
      <c r="A59">
        <v>0.57999999999999996</v>
      </c>
      <c r="B59" cm="1">
        <f t="array" ref="B59">powerCalc2($A59,0,0)</f>
        <v>0</v>
      </c>
      <c r="C59" cm="1">
        <f t="array" ref="C59">powerCalc2($A59,1,0)</f>
        <v>0.65999999999999992</v>
      </c>
      <c r="D59">
        <f>B59*D$1</f>
        <v>0</v>
      </c>
      <c r="E59">
        <f>C59*E$1</f>
        <v>659.99999999999989</v>
      </c>
      <c r="F59">
        <f t="shared" si="0"/>
        <v>659.99999999999989</v>
      </c>
      <c r="G59">
        <f t="shared" si="3"/>
        <v>20</v>
      </c>
      <c r="I59" cm="1">
        <f t="array" ref="I59">powerCalc3($A59,0,1)</f>
        <v>0</v>
      </c>
      <c r="J59" cm="1">
        <f t="array" ref="J59">powerCalc3($A59,1,1)</f>
        <v>0.87</v>
      </c>
      <c r="K59">
        <f t="shared" si="1"/>
        <v>0</v>
      </c>
      <c r="L59">
        <f>J59*L$1</f>
        <v>870</v>
      </c>
      <c r="M59">
        <f t="shared" si="2"/>
        <v>870</v>
      </c>
      <c r="N59">
        <f t="shared" si="4"/>
        <v>15</v>
      </c>
    </row>
    <row r="60" spans="1:14" x14ac:dyDescent="0.25">
      <c r="A60">
        <v>0.59</v>
      </c>
      <c r="B60" cm="1">
        <f t="array" ref="B60">powerCalc2($A60,0,0)</f>
        <v>0</v>
      </c>
      <c r="C60" cm="1">
        <f t="array" ref="C60">powerCalc2($A60,1,0)</f>
        <v>0.67999999999999994</v>
      </c>
      <c r="D60">
        <f>B60*D$1</f>
        <v>0</v>
      </c>
      <c r="E60">
        <f>C60*E$1</f>
        <v>679.99999999999989</v>
      </c>
      <c r="F60">
        <f t="shared" si="0"/>
        <v>679.99999999999989</v>
      </c>
      <c r="G60">
        <f t="shared" si="3"/>
        <v>20</v>
      </c>
      <c r="I60" cm="1">
        <f t="array" ref="I60">powerCalc3($A60,0,1)</f>
        <v>0</v>
      </c>
      <c r="J60" cm="1">
        <f t="array" ref="J60">powerCalc3($A60,1,1)</f>
        <v>0.88500000000000001</v>
      </c>
      <c r="K60">
        <f t="shared" si="1"/>
        <v>0</v>
      </c>
      <c r="L60">
        <f>J60*L$1</f>
        <v>885</v>
      </c>
      <c r="M60">
        <f t="shared" si="2"/>
        <v>885</v>
      </c>
      <c r="N60">
        <f t="shared" si="4"/>
        <v>15</v>
      </c>
    </row>
    <row r="61" spans="1:14" x14ac:dyDescent="0.25">
      <c r="A61">
        <v>0.6</v>
      </c>
      <c r="B61" cm="1">
        <f t="array" ref="B61">powerCalc2($A61,0,0)</f>
        <v>0</v>
      </c>
      <c r="C61" cm="1">
        <f t="array" ref="C61">powerCalc2($A61,1,0)</f>
        <v>0.7</v>
      </c>
      <c r="D61">
        <f>B61*D$1</f>
        <v>0</v>
      </c>
      <c r="E61">
        <f>C61*E$1</f>
        <v>700</v>
      </c>
      <c r="F61">
        <f t="shared" si="0"/>
        <v>700</v>
      </c>
      <c r="G61">
        <f t="shared" si="3"/>
        <v>20.000000000000114</v>
      </c>
      <c r="I61" cm="1">
        <f t="array" ref="I61">powerCalc3($A61,0,1)</f>
        <v>0</v>
      </c>
      <c r="J61" cm="1">
        <f t="array" ref="J61">powerCalc3($A61,1,1)</f>
        <v>0.9</v>
      </c>
      <c r="K61">
        <f t="shared" si="1"/>
        <v>0</v>
      </c>
      <c r="L61">
        <f>J61*L$1</f>
        <v>900</v>
      </c>
      <c r="M61">
        <f t="shared" si="2"/>
        <v>900</v>
      </c>
      <c r="N61">
        <f t="shared" si="4"/>
        <v>15</v>
      </c>
    </row>
    <row r="62" spans="1:14" x14ac:dyDescent="0.25">
      <c r="A62">
        <v>0.61</v>
      </c>
      <c r="B62" cm="1">
        <f t="array" ref="B62">powerCalc2($A62,0,0)</f>
        <v>0</v>
      </c>
      <c r="C62" cm="1">
        <f t="array" ref="C62">powerCalc2($A62,1,0)</f>
        <v>0.72</v>
      </c>
      <c r="D62">
        <f>B62*D$1</f>
        <v>0</v>
      </c>
      <c r="E62">
        <f>C62*E$1</f>
        <v>720</v>
      </c>
      <c r="F62">
        <f t="shared" si="0"/>
        <v>720</v>
      </c>
      <c r="G62">
        <f t="shared" si="3"/>
        <v>20</v>
      </c>
      <c r="I62" cm="1">
        <f t="array" ref="I62">powerCalc3($A62,0,1)</f>
        <v>0</v>
      </c>
      <c r="J62" cm="1">
        <f t="array" ref="J62">powerCalc3($A62,1,1)</f>
        <v>0.91500000000000004</v>
      </c>
      <c r="K62">
        <f t="shared" si="1"/>
        <v>0</v>
      </c>
      <c r="L62">
        <f>J62*L$1</f>
        <v>915</v>
      </c>
      <c r="M62">
        <f t="shared" si="2"/>
        <v>915</v>
      </c>
      <c r="N62">
        <f t="shared" si="4"/>
        <v>15</v>
      </c>
    </row>
    <row r="63" spans="1:14" x14ac:dyDescent="0.25">
      <c r="A63">
        <v>0.62</v>
      </c>
      <c r="B63" cm="1">
        <f t="array" ref="B63">powerCalc2($A63,0,0)</f>
        <v>0</v>
      </c>
      <c r="C63" cm="1">
        <f t="array" ref="C63">powerCalc2($A63,1,0)</f>
        <v>0.74</v>
      </c>
      <c r="D63">
        <f>B63*D$1</f>
        <v>0</v>
      </c>
      <c r="E63">
        <f>C63*E$1</f>
        <v>740</v>
      </c>
      <c r="F63">
        <f t="shared" si="0"/>
        <v>740</v>
      </c>
      <c r="G63">
        <f t="shared" si="3"/>
        <v>20</v>
      </c>
      <c r="I63" cm="1">
        <f t="array" ref="I63">powerCalc3($A63,0,1)</f>
        <v>0</v>
      </c>
      <c r="J63" cm="1">
        <f t="array" ref="J63">powerCalc3($A63,1,1)</f>
        <v>0.93</v>
      </c>
      <c r="K63">
        <f t="shared" si="1"/>
        <v>0</v>
      </c>
      <c r="L63">
        <f>J63*L$1</f>
        <v>930</v>
      </c>
      <c r="M63">
        <f t="shared" si="2"/>
        <v>930</v>
      </c>
      <c r="N63">
        <f t="shared" si="4"/>
        <v>15</v>
      </c>
    </row>
    <row r="64" spans="1:14" x14ac:dyDescent="0.25">
      <c r="A64">
        <v>0.63</v>
      </c>
      <c r="B64" cm="1">
        <f t="array" ref="B64">powerCalc2($A64,0,0)</f>
        <v>0</v>
      </c>
      <c r="C64" cm="1">
        <f t="array" ref="C64">powerCalc2($A64,1,0)</f>
        <v>0.76</v>
      </c>
      <c r="D64">
        <f>B64*D$1</f>
        <v>0</v>
      </c>
      <c r="E64">
        <f>C64*E$1</f>
        <v>760</v>
      </c>
      <c r="F64">
        <f t="shared" si="0"/>
        <v>760</v>
      </c>
      <c r="G64">
        <f t="shared" si="3"/>
        <v>20</v>
      </c>
      <c r="I64" cm="1">
        <f t="array" ref="I64">powerCalc3($A64,0,1)</f>
        <v>0</v>
      </c>
      <c r="J64" cm="1">
        <f t="array" ref="J64">powerCalc3($A64,1,1)</f>
        <v>0.94500000000000006</v>
      </c>
      <c r="K64">
        <f t="shared" si="1"/>
        <v>0</v>
      </c>
      <c r="L64">
        <f>J64*L$1</f>
        <v>945.00000000000011</v>
      </c>
      <c r="M64">
        <f t="shared" si="2"/>
        <v>945.00000000000011</v>
      </c>
      <c r="N64">
        <f t="shared" si="4"/>
        <v>15.000000000000114</v>
      </c>
    </row>
    <row r="65" spans="1:14" x14ac:dyDescent="0.25">
      <c r="A65">
        <v>0.64</v>
      </c>
      <c r="B65" cm="1">
        <f t="array" ref="B65">powerCalc2($A65,0,0)</f>
        <v>0</v>
      </c>
      <c r="C65" cm="1">
        <f t="array" ref="C65">powerCalc2($A65,1,0)</f>
        <v>0.78</v>
      </c>
      <c r="D65">
        <f>B65*D$1</f>
        <v>0</v>
      </c>
      <c r="E65">
        <f>C65*E$1</f>
        <v>780</v>
      </c>
      <c r="F65">
        <f t="shared" si="0"/>
        <v>780</v>
      </c>
      <c r="G65">
        <f t="shared" si="3"/>
        <v>20</v>
      </c>
      <c r="I65" cm="1">
        <f t="array" ref="I65">powerCalc3($A65,0,1)</f>
        <v>0</v>
      </c>
      <c r="J65" cm="1">
        <f t="array" ref="J65">powerCalc3($A65,1,1)</f>
        <v>0.96000000000000008</v>
      </c>
      <c r="K65">
        <f t="shared" ref="K65:K101" si="5">I65*K$1</f>
        <v>0</v>
      </c>
      <c r="L65">
        <f>J65*L$1</f>
        <v>960.00000000000011</v>
      </c>
      <c r="M65">
        <f t="shared" si="2"/>
        <v>960.00000000000011</v>
      </c>
      <c r="N65">
        <f t="shared" si="4"/>
        <v>15</v>
      </c>
    </row>
    <row r="66" spans="1:14" x14ac:dyDescent="0.25">
      <c r="A66">
        <v>0.65</v>
      </c>
      <c r="B66" cm="1">
        <f t="array" ref="B66">powerCalc2($A66,0,0)</f>
        <v>0</v>
      </c>
      <c r="C66" cm="1">
        <f t="array" ref="C66">powerCalc2($A66,1,0)</f>
        <v>0.8</v>
      </c>
      <c r="D66">
        <f>B66*D$1</f>
        <v>0</v>
      </c>
      <c r="E66">
        <f>C66*E$1</f>
        <v>800</v>
      </c>
      <c r="F66">
        <f t="shared" si="0"/>
        <v>800</v>
      </c>
      <c r="G66">
        <f t="shared" si="3"/>
        <v>20</v>
      </c>
      <c r="I66" cm="1">
        <f t="array" ref="I66">powerCalc3($A66,0,1)</f>
        <v>0</v>
      </c>
      <c r="J66" cm="1">
        <f t="array" ref="J66">powerCalc3($A66,1,1)</f>
        <v>0.97500000000000009</v>
      </c>
      <c r="K66">
        <f t="shared" si="5"/>
        <v>0</v>
      </c>
      <c r="L66">
        <f>J66*L$1</f>
        <v>975.00000000000011</v>
      </c>
      <c r="M66">
        <f t="shared" si="2"/>
        <v>975.00000000000011</v>
      </c>
      <c r="N66">
        <f t="shared" si="4"/>
        <v>15</v>
      </c>
    </row>
    <row r="67" spans="1:14" x14ac:dyDescent="0.25">
      <c r="A67">
        <v>0.66</v>
      </c>
      <c r="B67" cm="1">
        <f t="array" ref="B67">powerCalc2($A67,0,0)</f>
        <v>0</v>
      </c>
      <c r="C67" cm="1">
        <f t="array" ref="C67">powerCalc2($A67,1,0)</f>
        <v>0.82000000000000006</v>
      </c>
      <c r="D67">
        <f>B67*D$1</f>
        <v>0</v>
      </c>
      <c r="E67">
        <f>C67*E$1</f>
        <v>820.00000000000011</v>
      </c>
      <c r="F67">
        <f t="shared" ref="F67:F101" si="6">D67+E67</f>
        <v>820.00000000000011</v>
      </c>
      <c r="G67">
        <f t="shared" si="3"/>
        <v>20.000000000000114</v>
      </c>
      <c r="I67" cm="1">
        <f t="array" ref="I67">powerCalc3($A67,0,1)</f>
        <v>0</v>
      </c>
      <c r="J67" cm="1">
        <f t="array" ref="J67">powerCalc3($A67,1,1)</f>
        <v>0.9900000000000001</v>
      </c>
      <c r="K67">
        <f t="shared" si="5"/>
        <v>0</v>
      </c>
      <c r="L67">
        <f>J67*L$1</f>
        <v>990.00000000000011</v>
      </c>
      <c r="M67">
        <f t="shared" ref="M67:M101" si="7">K67+L67</f>
        <v>990.00000000000011</v>
      </c>
      <c r="N67">
        <f t="shared" si="4"/>
        <v>15</v>
      </c>
    </row>
    <row r="68" spans="1:14" x14ac:dyDescent="0.25">
      <c r="A68">
        <v>0.67</v>
      </c>
      <c r="B68" cm="1">
        <f t="array" ref="B68">powerCalc2($A68,0,0)</f>
        <v>0</v>
      </c>
      <c r="C68" cm="1">
        <f t="array" ref="C68">powerCalc2($A68,1,0)</f>
        <v>0.84000000000000008</v>
      </c>
      <c r="D68">
        <f>B68*D$1</f>
        <v>0</v>
      </c>
      <c r="E68">
        <f>C68*E$1</f>
        <v>840.00000000000011</v>
      </c>
      <c r="F68">
        <f t="shared" si="6"/>
        <v>840.00000000000011</v>
      </c>
      <c r="G68">
        <f t="shared" ref="G68:G101" si="8">F68-F67</f>
        <v>20</v>
      </c>
      <c r="I68" cm="1">
        <f t="array" ref="I68">powerCalc3($A68,0,1)</f>
        <v>1</v>
      </c>
      <c r="J68" cm="1">
        <f t="array" ref="J68">powerCalc3($A68,1,1)</f>
        <v>0.50500000000000012</v>
      </c>
      <c r="K68">
        <f t="shared" ref="K68:K101" si="9">I68*K$1</f>
        <v>500</v>
      </c>
      <c r="L68">
        <f>J68*L$1</f>
        <v>505.00000000000011</v>
      </c>
      <c r="M68">
        <f t="shared" si="7"/>
        <v>1005.0000000000001</v>
      </c>
      <c r="N68">
        <f t="shared" ref="N68:N101" si="10">M68-M67</f>
        <v>15</v>
      </c>
    </row>
    <row r="69" spans="1:14" x14ac:dyDescent="0.25">
      <c r="A69">
        <v>0.68</v>
      </c>
      <c r="B69" cm="1">
        <f t="array" ref="B69">powerCalc2($A69,0,0)</f>
        <v>0</v>
      </c>
      <c r="C69" cm="1">
        <f t="array" ref="C69">powerCalc2($A69,1,0)</f>
        <v>0.8600000000000001</v>
      </c>
      <c r="D69">
        <f>B69*D$1</f>
        <v>0</v>
      </c>
      <c r="E69">
        <f>C69*E$1</f>
        <v>860.00000000000011</v>
      </c>
      <c r="F69">
        <f t="shared" si="6"/>
        <v>860.00000000000011</v>
      </c>
      <c r="G69">
        <f t="shared" si="8"/>
        <v>20</v>
      </c>
      <c r="I69" cm="1">
        <f t="array" ref="I69">powerCalc3($A69,0,1)</f>
        <v>1</v>
      </c>
      <c r="J69" cm="1">
        <f t="array" ref="J69">powerCalc3($A69,1,1)</f>
        <v>0.52000000000000013</v>
      </c>
      <c r="K69">
        <f t="shared" si="9"/>
        <v>500</v>
      </c>
      <c r="L69">
        <f>J69*L$1</f>
        <v>520.00000000000011</v>
      </c>
      <c r="M69">
        <f t="shared" si="7"/>
        <v>1020.0000000000001</v>
      </c>
      <c r="N69">
        <f t="shared" si="10"/>
        <v>15</v>
      </c>
    </row>
    <row r="70" spans="1:14" x14ac:dyDescent="0.25">
      <c r="A70">
        <v>0.69</v>
      </c>
      <c r="B70" cm="1">
        <f t="array" ref="B70">powerCalc2($A70,0,0)</f>
        <v>0</v>
      </c>
      <c r="C70" cm="1">
        <f t="array" ref="C70">powerCalc2($A70,1,0)</f>
        <v>0.87999999999999989</v>
      </c>
      <c r="D70">
        <f>B70*D$1</f>
        <v>0</v>
      </c>
      <c r="E70">
        <f>C70*E$1</f>
        <v>879.99999999999989</v>
      </c>
      <c r="F70">
        <f t="shared" si="6"/>
        <v>879.99999999999989</v>
      </c>
      <c r="G70">
        <f t="shared" si="8"/>
        <v>19.999999999999773</v>
      </c>
      <c r="I70" cm="1">
        <f t="array" ref="I70">powerCalc3($A70,0,1)</f>
        <v>1</v>
      </c>
      <c r="J70" cm="1">
        <f t="array" ref="J70">powerCalc3($A70,1,1)</f>
        <v>0.53499999999999992</v>
      </c>
      <c r="K70">
        <f t="shared" si="9"/>
        <v>500</v>
      </c>
      <c r="L70">
        <f>J70*L$1</f>
        <v>534.99999999999989</v>
      </c>
      <c r="M70">
        <f t="shared" si="7"/>
        <v>1035</v>
      </c>
      <c r="N70">
        <f t="shared" si="10"/>
        <v>14.999999999999886</v>
      </c>
    </row>
    <row r="71" spans="1:14" x14ac:dyDescent="0.25">
      <c r="A71">
        <v>0.7</v>
      </c>
      <c r="B71" cm="1">
        <f t="array" ref="B71">powerCalc2($A71,0,0)</f>
        <v>0</v>
      </c>
      <c r="C71" cm="1">
        <f t="array" ref="C71">powerCalc2($A71,1,0)</f>
        <v>0.89999999999999991</v>
      </c>
      <c r="D71">
        <f>B71*D$1</f>
        <v>0</v>
      </c>
      <c r="E71">
        <f>C71*E$1</f>
        <v>899.99999999999989</v>
      </c>
      <c r="F71">
        <f t="shared" si="6"/>
        <v>899.99999999999989</v>
      </c>
      <c r="G71">
        <f t="shared" si="8"/>
        <v>20</v>
      </c>
      <c r="I71" cm="1">
        <f t="array" ref="I71">powerCalc3($A71,0,1)</f>
        <v>1</v>
      </c>
      <c r="J71" cm="1">
        <f t="array" ref="J71">powerCalc3($A71,1,1)</f>
        <v>0.54999999999999993</v>
      </c>
      <c r="K71">
        <f t="shared" si="9"/>
        <v>500</v>
      </c>
      <c r="L71">
        <f>J71*L$1</f>
        <v>549.99999999999989</v>
      </c>
      <c r="M71">
        <f t="shared" si="7"/>
        <v>1050</v>
      </c>
      <c r="N71">
        <f t="shared" si="10"/>
        <v>15</v>
      </c>
    </row>
    <row r="72" spans="1:14" x14ac:dyDescent="0.25">
      <c r="A72">
        <v>0.71</v>
      </c>
      <c r="B72" cm="1">
        <f t="array" ref="B72">powerCalc2($A72,0,0)</f>
        <v>0</v>
      </c>
      <c r="C72" cm="1">
        <f t="array" ref="C72">powerCalc2($A72,1,0)</f>
        <v>0.91999999999999993</v>
      </c>
      <c r="D72">
        <f>B72*D$1</f>
        <v>0</v>
      </c>
      <c r="E72">
        <f>C72*E$1</f>
        <v>919.99999999999989</v>
      </c>
      <c r="F72">
        <f t="shared" si="6"/>
        <v>919.99999999999989</v>
      </c>
      <c r="G72">
        <f t="shared" si="8"/>
        <v>20</v>
      </c>
      <c r="I72" cm="1">
        <f t="array" ref="I72">powerCalc3($A72,0,1)</f>
        <v>1</v>
      </c>
      <c r="J72" cm="1">
        <f t="array" ref="J72">powerCalc3($A72,1,1)</f>
        <v>0.56499999999999995</v>
      </c>
      <c r="K72">
        <f t="shared" si="9"/>
        <v>500</v>
      </c>
      <c r="L72">
        <f>J72*L$1</f>
        <v>565</v>
      </c>
      <c r="M72">
        <f t="shared" si="7"/>
        <v>1065</v>
      </c>
      <c r="N72">
        <f t="shared" si="10"/>
        <v>15</v>
      </c>
    </row>
    <row r="73" spans="1:14" x14ac:dyDescent="0.25">
      <c r="A73">
        <v>0.72</v>
      </c>
      <c r="B73" cm="1">
        <f t="array" ref="B73">powerCalc2($A73,0,0)</f>
        <v>0</v>
      </c>
      <c r="C73" cm="1">
        <f t="array" ref="C73">powerCalc2($A73,1,0)</f>
        <v>0.94</v>
      </c>
      <c r="D73">
        <f>B73*D$1</f>
        <v>0</v>
      </c>
      <c r="E73">
        <f>C73*E$1</f>
        <v>940</v>
      </c>
      <c r="F73">
        <f t="shared" si="6"/>
        <v>940</v>
      </c>
      <c r="G73">
        <f t="shared" si="8"/>
        <v>20.000000000000114</v>
      </c>
      <c r="I73" cm="1">
        <f t="array" ref="I73">powerCalc3($A73,0,1)</f>
        <v>1</v>
      </c>
      <c r="J73" cm="1">
        <f t="array" ref="J73">powerCalc3($A73,1,1)</f>
        <v>0.57999999999999996</v>
      </c>
      <c r="K73">
        <f t="shared" si="9"/>
        <v>500</v>
      </c>
      <c r="L73">
        <f>J73*L$1</f>
        <v>580</v>
      </c>
      <c r="M73">
        <f t="shared" si="7"/>
        <v>1080</v>
      </c>
      <c r="N73">
        <f t="shared" si="10"/>
        <v>15</v>
      </c>
    </row>
    <row r="74" spans="1:14" x14ac:dyDescent="0.25">
      <c r="A74">
        <v>0.73</v>
      </c>
      <c r="B74" cm="1">
        <f t="array" ref="B74">powerCalc2($A74,0,0)</f>
        <v>0</v>
      </c>
      <c r="C74" cm="1">
        <f t="array" ref="C74">powerCalc2($A74,1,0)</f>
        <v>0.96</v>
      </c>
      <c r="D74">
        <f>B74*D$1</f>
        <v>0</v>
      </c>
      <c r="E74">
        <f>C74*E$1</f>
        <v>960</v>
      </c>
      <c r="F74">
        <f t="shared" si="6"/>
        <v>960</v>
      </c>
      <c r="G74">
        <f t="shared" si="8"/>
        <v>20</v>
      </c>
      <c r="I74" cm="1">
        <f t="array" ref="I74">powerCalc3($A74,0,1)</f>
        <v>1</v>
      </c>
      <c r="J74" cm="1">
        <f t="array" ref="J74">powerCalc3($A74,1,1)</f>
        <v>0.59499999999999997</v>
      </c>
      <c r="K74">
        <f t="shared" si="9"/>
        <v>500</v>
      </c>
      <c r="L74">
        <f>J74*L$1</f>
        <v>595</v>
      </c>
      <c r="M74">
        <f t="shared" si="7"/>
        <v>1095</v>
      </c>
      <c r="N74">
        <f t="shared" si="10"/>
        <v>15</v>
      </c>
    </row>
    <row r="75" spans="1:14" x14ac:dyDescent="0.25">
      <c r="A75">
        <v>0.74</v>
      </c>
      <c r="B75" cm="1">
        <f t="array" ref="B75">powerCalc2($A75,0,0)</f>
        <v>0</v>
      </c>
      <c r="C75" cm="1">
        <f t="array" ref="C75">powerCalc2($A75,1,0)</f>
        <v>0.98</v>
      </c>
      <c r="D75">
        <f>B75*D$1</f>
        <v>0</v>
      </c>
      <c r="E75">
        <f>C75*E$1</f>
        <v>980</v>
      </c>
      <c r="F75">
        <f t="shared" si="6"/>
        <v>980</v>
      </c>
      <c r="G75">
        <f t="shared" si="8"/>
        <v>20</v>
      </c>
      <c r="I75" cm="1">
        <f t="array" ref="I75">powerCalc3($A75,0,1)</f>
        <v>1</v>
      </c>
      <c r="J75" cm="1">
        <f t="array" ref="J75">powerCalc3($A75,1,1)</f>
        <v>0.61</v>
      </c>
      <c r="K75">
        <f t="shared" si="9"/>
        <v>500</v>
      </c>
      <c r="L75">
        <f>J75*L$1</f>
        <v>610</v>
      </c>
      <c r="M75">
        <f t="shared" si="7"/>
        <v>1110</v>
      </c>
      <c r="N75">
        <f t="shared" si="10"/>
        <v>15</v>
      </c>
    </row>
    <row r="76" spans="1:14" x14ac:dyDescent="0.25">
      <c r="A76">
        <v>0.75</v>
      </c>
      <c r="B76" cm="1">
        <f t="array" ref="B76">powerCalc2($A76,0,0)</f>
        <v>0</v>
      </c>
      <c r="C76" cm="1">
        <f t="array" ref="C76">powerCalc2($A76,1,0)</f>
        <v>1</v>
      </c>
      <c r="D76">
        <f>B76*D$1</f>
        <v>0</v>
      </c>
      <c r="E76">
        <f>C76*E$1</f>
        <v>1000</v>
      </c>
      <c r="F76">
        <f t="shared" si="6"/>
        <v>1000</v>
      </c>
      <c r="G76">
        <f t="shared" si="8"/>
        <v>20</v>
      </c>
      <c r="I76" cm="1">
        <f t="array" ref="I76">powerCalc3($A76,0,1)</f>
        <v>1</v>
      </c>
      <c r="J76" cm="1">
        <f t="array" ref="J76">powerCalc3($A76,1,1)</f>
        <v>0.625</v>
      </c>
      <c r="K76">
        <f t="shared" si="9"/>
        <v>500</v>
      </c>
      <c r="L76">
        <f>J76*L$1</f>
        <v>625</v>
      </c>
      <c r="M76">
        <f t="shared" si="7"/>
        <v>1125</v>
      </c>
      <c r="N76">
        <f t="shared" si="10"/>
        <v>15</v>
      </c>
    </row>
    <row r="77" spans="1:14" x14ac:dyDescent="0.25">
      <c r="A77">
        <v>0.76</v>
      </c>
      <c r="B77" cm="1">
        <f t="array" ref="B77">powerCalc2($A77,0,0)</f>
        <v>4.0000000000000036E-2</v>
      </c>
      <c r="C77" cm="1">
        <f t="array" ref="C77">powerCalc2($A77,1,0)</f>
        <v>1</v>
      </c>
      <c r="D77">
        <f>B77*D$1</f>
        <v>20.000000000000018</v>
      </c>
      <c r="E77">
        <f>C77*E$1</f>
        <v>1000</v>
      </c>
      <c r="F77">
        <f t="shared" si="6"/>
        <v>1020</v>
      </c>
      <c r="G77">
        <f t="shared" si="8"/>
        <v>20</v>
      </c>
      <c r="I77" cm="1">
        <f t="array" ref="I77">powerCalc3($A77,0,1)</f>
        <v>1</v>
      </c>
      <c r="J77" cm="1">
        <f t="array" ref="J77">powerCalc3($A77,1,1)</f>
        <v>0.64</v>
      </c>
      <c r="K77">
        <f t="shared" si="9"/>
        <v>500</v>
      </c>
      <c r="L77">
        <f>J77*L$1</f>
        <v>640</v>
      </c>
      <c r="M77">
        <f t="shared" si="7"/>
        <v>1140</v>
      </c>
      <c r="N77">
        <f t="shared" si="10"/>
        <v>15</v>
      </c>
    </row>
    <row r="78" spans="1:14" x14ac:dyDescent="0.25">
      <c r="A78">
        <v>0.77</v>
      </c>
      <c r="B78" cm="1">
        <f t="array" ref="B78">powerCalc2($A78,0,0)</f>
        <v>8.0000000000000071E-2</v>
      </c>
      <c r="C78" cm="1">
        <f t="array" ref="C78">powerCalc2($A78,1,0)</f>
        <v>1</v>
      </c>
      <c r="D78">
        <f>B78*D$1</f>
        <v>40.000000000000036</v>
      </c>
      <c r="E78">
        <f>C78*E$1</f>
        <v>1000</v>
      </c>
      <c r="F78">
        <f t="shared" si="6"/>
        <v>1040</v>
      </c>
      <c r="G78">
        <f t="shared" si="8"/>
        <v>20</v>
      </c>
      <c r="I78" cm="1">
        <f t="array" ref="I78">powerCalc3($A78,0,1)</f>
        <v>1</v>
      </c>
      <c r="J78" cm="1">
        <f t="array" ref="J78">powerCalc3($A78,1,1)</f>
        <v>0.65500000000000003</v>
      </c>
      <c r="K78">
        <f t="shared" si="9"/>
        <v>500</v>
      </c>
      <c r="L78">
        <f>J78*L$1</f>
        <v>655</v>
      </c>
      <c r="M78">
        <f t="shared" si="7"/>
        <v>1155</v>
      </c>
      <c r="N78">
        <f t="shared" si="10"/>
        <v>15</v>
      </c>
    </row>
    <row r="79" spans="1:14" x14ac:dyDescent="0.25">
      <c r="A79">
        <v>0.78</v>
      </c>
      <c r="B79" cm="1">
        <f t="array" ref="B79">powerCalc2($A79,0,0)</f>
        <v>0.12000000000000011</v>
      </c>
      <c r="C79" cm="1">
        <f t="array" ref="C79">powerCalc2($A79,1,0)</f>
        <v>1</v>
      </c>
      <c r="D79">
        <f>B79*D$1</f>
        <v>60.000000000000057</v>
      </c>
      <c r="E79">
        <f>C79*E$1</f>
        <v>1000</v>
      </c>
      <c r="F79">
        <f t="shared" si="6"/>
        <v>1060</v>
      </c>
      <c r="G79">
        <f t="shared" si="8"/>
        <v>20</v>
      </c>
      <c r="I79" cm="1">
        <f t="array" ref="I79">powerCalc3($A79,0,1)</f>
        <v>1</v>
      </c>
      <c r="J79" cm="1">
        <f t="array" ref="J79">powerCalc3($A79,1,1)</f>
        <v>0.67</v>
      </c>
      <c r="K79">
        <f t="shared" si="9"/>
        <v>500</v>
      </c>
      <c r="L79">
        <f>J79*L$1</f>
        <v>670</v>
      </c>
      <c r="M79">
        <f t="shared" si="7"/>
        <v>1170</v>
      </c>
      <c r="N79">
        <f t="shared" si="10"/>
        <v>15</v>
      </c>
    </row>
    <row r="80" spans="1:14" x14ac:dyDescent="0.25">
      <c r="A80">
        <v>0.79</v>
      </c>
      <c r="B80" cm="1">
        <f t="array" ref="B80">powerCalc2($A80,0,0)</f>
        <v>0.16000000000000014</v>
      </c>
      <c r="C80" cm="1">
        <f t="array" ref="C80">powerCalc2($A80,1,0)</f>
        <v>1</v>
      </c>
      <c r="D80">
        <f>B80*D$1</f>
        <v>80.000000000000071</v>
      </c>
      <c r="E80">
        <f>C80*E$1</f>
        <v>1000</v>
      </c>
      <c r="F80">
        <f t="shared" si="6"/>
        <v>1080</v>
      </c>
      <c r="G80">
        <f t="shared" si="8"/>
        <v>20</v>
      </c>
      <c r="I80" cm="1">
        <f t="array" ref="I80">powerCalc3($A80,0,1)</f>
        <v>1</v>
      </c>
      <c r="J80" cm="1">
        <f t="array" ref="J80">powerCalc3($A80,1,1)</f>
        <v>0.68500000000000005</v>
      </c>
      <c r="K80">
        <f t="shared" si="9"/>
        <v>500</v>
      </c>
      <c r="L80">
        <f>J80*L$1</f>
        <v>685</v>
      </c>
      <c r="M80">
        <f t="shared" si="7"/>
        <v>1185</v>
      </c>
      <c r="N80">
        <f t="shared" si="10"/>
        <v>15</v>
      </c>
    </row>
    <row r="81" spans="1:14" x14ac:dyDescent="0.25">
      <c r="A81">
        <v>0.8</v>
      </c>
      <c r="B81" cm="1">
        <f t="array" ref="B81">powerCalc2($A81,0,0)</f>
        <v>0.20000000000000018</v>
      </c>
      <c r="C81" cm="1">
        <f t="array" ref="C81">powerCalc2($A81,1,0)</f>
        <v>1</v>
      </c>
      <c r="D81">
        <f>B81*D$1</f>
        <v>100.00000000000009</v>
      </c>
      <c r="E81">
        <f>C81*E$1</f>
        <v>1000</v>
      </c>
      <c r="F81">
        <f t="shared" si="6"/>
        <v>1100</v>
      </c>
      <c r="G81">
        <f t="shared" si="8"/>
        <v>20</v>
      </c>
      <c r="I81" cm="1">
        <f t="array" ref="I81">powerCalc3($A81,0,1)</f>
        <v>1</v>
      </c>
      <c r="J81" cm="1">
        <f t="array" ref="J81">powerCalc3($A81,1,1)</f>
        <v>0.70000000000000007</v>
      </c>
      <c r="K81">
        <f t="shared" si="9"/>
        <v>500</v>
      </c>
      <c r="L81">
        <f>J81*L$1</f>
        <v>700.00000000000011</v>
      </c>
      <c r="M81">
        <f t="shared" si="7"/>
        <v>1200</v>
      </c>
      <c r="N81">
        <f t="shared" si="10"/>
        <v>15</v>
      </c>
    </row>
    <row r="82" spans="1:14" x14ac:dyDescent="0.25">
      <c r="A82">
        <v>0.81</v>
      </c>
      <c r="B82" cm="1">
        <f t="array" ref="B82">powerCalc2($A82,0,0)</f>
        <v>0.24000000000000021</v>
      </c>
      <c r="C82" cm="1">
        <f t="array" ref="C82">powerCalc2($A82,1,0)</f>
        <v>1</v>
      </c>
      <c r="D82">
        <f>B82*D$1</f>
        <v>120.00000000000011</v>
      </c>
      <c r="E82">
        <f>C82*E$1</f>
        <v>1000</v>
      </c>
      <c r="F82">
        <f t="shared" si="6"/>
        <v>1120</v>
      </c>
      <c r="G82">
        <f t="shared" si="8"/>
        <v>20</v>
      </c>
      <c r="I82" cm="1">
        <f t="array" ref="I82">powerCalc3($A82,0,1)</f>
        <v>1</v>
      </c>
      <c r="J82" cm="1">
        <f t="array" ref="J82">powerCalc3($A82,1,1)</f>
        <v>0.71500000000000008</v>
      </c>
      <c r="K82">
        <f t="shared" si="9"/>
        <v>500</v>
      </c>
      <c r="L82">
        <f>J82*L$1</f>
        <v>715.00000000000011</v>
      </c>
      <c r="M82">
        <f t="shared" si="7"/>
        <v>1215</v>
      </c>
      <c r="N82">
        <f t="shared" si="10"/>
        <v>15</v>
      </c>
    </row>
    <row r="83" spans="1:14" x14ac:dyDescent="0.25">
      <c r="A83">
        <v>0.82</v>
      </c>
      <c r="B83" cm="1">
        <f t="array" ref="B83">powerCalc2($A83,0,0)</f>
        <v>0.2799999999999998</v>
      </c>
      <c r="C83" cm="1">
        <f t="array" ref="C83">powerCalc2($A83,1,0)</f>
        <v>1</v>
      </c>
      <c r="D83">
        <f>B83*D$1</f>
        <v>139.99999999999991</v>
      </c>
      <c r="E83">
        <f>C83*E$1</f>
        <v>1000</v>
      </c>
      <c r="F83">
        <f t="shared" si="6"/>
        <v>1140</v>
      </c>
      <c r="G83">
        <f t="shared" si="8"/>
        <v>20</v>
      </c>
      <c r="I83" cm="1">
        <f t="array" ref="I83">powerCalc3($A83,0,1)</f>
        <v>1</v>
      </c>
      <c r="J83" cm="1">
        <f t="array" ref="J83">powerCalc3($A83,1,1)</f>
        <v>0.73</v>
      </c>
      <c r="K83">
        <f t="shared" si="9"/>
        <v>500</v>
      </c>
      <c r="L83">
        <f>J83*L$1</f>
        <v>730</v>
      </c>
      <c r="M83">
        <f t="shared" si="7"/>
        <v>1230</v>
      </c>
      <c r="N83">
        <f t="shared" si="10"/>
        <v>15</v>
      </c>
    </row>
    <row r="84" spans="1:14" x14ac:dyDescent="0.25">
      <c r="A84">
        <v>0.83</v>
      </c>
      <c r="B84" cm="1">
        <f t="array" ref="B84">powerCalc2($A84,0,0)</f>
        <v>0.31999999999999984</v>
      </c>
      <c r="C84" cm="1">
        <f t="array" ref="C84">powerCalc2($A84,1,0)</f>
        <v>1</v>
      </c>
      <c r="D84">
        <f>B84*D$1</f>
        <v>159.99999999999991</v>
      </c>
      <c r="E84">
        <f>C84*E$1</f>
        <v>1000</v>
      </c>
      <c r="F84">
        <f t="shared" si="6"/>
        <v>1160</v>
      </c>
      <c r="G84">
        <f t="shared" si="8"/>
        <v>20</v>
      </c>
      <c r="I84" cm="1">
        <f t="array" ref="I84">powerCalc3($A84,0,1)</f>
        <v>1</v>
      </c>
      <c r="J84" cm="1">
        <f t="array" ref="J84">powerCalc3($A84,1,1)</f>
        <v>0.745</v>
      </c>
      <c r="K84">
        <f t="shared" si="9"/>
        <v>500</v>
      </c>
      <c r="L84">
        <f>J84*L$1</f>
        <v>745</v>
      </c>
      <c r="M84">
        <f t="shared" si="7"/>
        <v>1245</v>
      </c>
      <c r="N84">
        <f t="shared" si="10"/>
        <v>15</v>
      </c>
    </row>
    <row r="85" spans="1:14" x14ac:dyDescent="0.25">
      <c r="A85">
        <v>0.84</v>
      </c>
      <c r="B85" cm="1">
        <f t="array" ref="B85">powerCalc2($A85,0,0)</f>
        <v>0.35999999999999988</v>
      </c>
      <c r="C85" cm="1">
        <f t="array" ref="C85">powerCalc2($A85,1,0)</f>
        <v>1</v>
      </c>
      <c r="D85">
        <f>B85*D$1</f>
        <v>179.99999999999994</v>
      </c>
      <c r="E85">
        <f>C85*E$1</f>
        <v>1000</v>
      </c>
      <c r="F85">
        <f t="shared" si="6"/>
        <v>1180</v>
      </c>
      <c r="G85">
        <f t="shared" si="8"/>
        <v>20</v>
      </c>
      <c r="I85" cm="1">
        <f t="array" ref="I85">powerCalc3($A85,0,1)</f>
        <v>1</v>
      </c>
      <c r="J85" cm="1">
        <f t="array" ref="J85">powerCalc3($A85,1,1)</f>
        <v>0.76</v>
      </c>
      <c r="K85">
        <f t="shared" si="9"/>
        <v>500</v>
      </c>
      <c r="L85">
        <f>J85*L$1</f>
        <v>760</v>
      </c>
      <c r="M85">
        <f t="shared" si="7"/>
        <v>1260</v>
      </c>
      <c r="N85">
        <f t="shared" si="10"/>
        <v>15</v>
      </c>
    </row>
    <row r="86" spans="1:14" x14ac:dyDescent="0.25">
      <c r="A86">
        <v>0.85</v>
      </c>
      <c r="B86" cm="1">
        <f t="array" ref="B86">powerCalc2($A86,0,0)</f>
        <v>0.39999999999999991</v>
      </c>
      <c r="C86" cm="1">
        <f t="array" ref="C86">powerCalc2($A86,1,0)</f>
        <v>1</v>
      </c>
      <c r="D86">
        <f>B86*D$1</f>
        <v>199.99999999999994</v>
      </c>
      <c r="E86">
        <f>C86*E$1</f>
        <v>1000</v>
      </c>
      <c r="F86">
        <f t="shared" si="6"/>
        <v>1200</v>
      </c>
      <c r="G86">
        <f t="shared" si="8"/>
        <v>20</v>
      </c>
      <c r="I86" cm="1">
        <f t="array" ref="I86">powerCalc3($A86,0,1)</f>
        <v>1</v>
      </c>
      <c r="J86" cm="1">
        <f t="array" ref="J86">powerCalc3($A86,1,1)</f>
        <v>0.77500000000000002</v>
      </c>
      <c r="K86">
        <f t="shared" si="9"/>
        <v>500</v>
      </c>
      <c r="L86">
        <f>J86*L$1</f>
        <v>775</v>
      </c>
      <c r="M86">
        <f t="shared" si="7"/>
        <v>1275</v>
      </c>
      <c r="N86">
        <f t="shared" si="10"/>
        <v>15</v>
      </c>
    </row>
    <row r="87" spans="1:14" x14ac:dyDescent="0.25">
      <c r="A87">
        <v>0.86</v>
      </c>
      <c r="B87" cm="1">
        <f t="array" ref="B87">powerCalc2($A87,0,0)</f>
        <v>0.43999999999999995</v>
      </c>
      <c r="C87" cm="1">
        <f t="array" ref="C87">powerCalc2($A87,1,0)</f>
        <v>1</v>
      </c>
      <c r="D87">
        <f>B87*D$1</f>
        <v>219.99999999999997</v>
      </c>
      <c r="E87">
        <f>C87*E$1</f>
        <v>1000</v>
      </c>
      <c r="F87">
        <f t="shared" si="6"/>
        <v>1220</v>
      </c>
      <c r="G87">
        <f t="shared" si="8"/>
        <v>20</v>
      </c>
      <c r="I87" cm="1">
        <f t="array" ref="I87">powerCalc3($A87,0,1)</f>
        <v>1</v>
      </c>
      <c r="J87" cm="1">
        <f t="array" ref="J87">powerCalc3($A87,1,1)</f>
        <v>0.79</v>
      </c>
      <c r="K87">
        <f t="shared" si="9"/>
        <v>500</v>
      </c>
      <c r="L87">
        <f>J87*L$1</f>
        <v>790</v>
      </c>
      <c r="M87">
        <f t="shared" si="7"/>
        <v>1290</v>
      </c>
      <c r="N87">
        <f t="shared" si="10"/>
        <v>15</v>
      </c>
    </row>
    <row r="88" spans="1:14" x14ac:dyDescent="0.25">
      <c r="A88">
        <v>0.87</v>
      </c>
      <c r="B88" cm="1">
        <f t="array" ref="B88">powerCalc2($A88,0,0)</f>
        <v>0.48</v>
      </c>
      <c r="C88" cm="1">
        <f t="array" ref="C88">powerCalc2($A88,1,0)</f>
        <v>1</v>
      </c>
      <c r="D88">
        <f>B88*D$1</f>
        <v>240</v>
      </c>
      <c r="E88">
        <f>C88*E$1</f>
        <v>1000</v>
      </c>
      <c r="F88">
        <f t="shared" si="6"/>
        <v>1240</v>
      </c>
      <c r="G88">
        <f t="shared" si="8"/>
        <v>20</v>
      </c>
      <c r="I88" cm="1">
        <f t="array" ref="I88">powerCalc3($A88,0,1)</f>
        <v>1</v>
      </c>
      <c r="J88" cm="1">
        <f t="array" ref="J88">powerCalc3($A88,1,1)</f>
        <v>0.80500000000000005</v>
      </c>
      <c r="K88">
        <f t="shared" si="9"/>
        <v>500</v>
      </c>
      <c r="L88">
        <f>J88*L$1</f>
        <v>805</v>
      </c>
      <c r="M88">
        <f t="shared" si="7"/>
        <v>1305</v>
      </c>
      <c r="N88">
        <f t="shared" si="10"/>
        <v>15</v>
      </c>
    </row>
    <row r="89" spans="1:14" x14ac:dyDescent="0.25">
      <c r="A89">
        <v>0.88</v>
      </c>
      <c r="B89" cm="1">
        <f t="array" ref="B89">powerCalc2($A89,0,0)</f>
        <v>1</v>
      </c>
      <c r="C89" cm="1">
        <f t="array" ref="C89">powerCalc2($A89,1,0)</f>
        <v>0.76</v>
      </c>
      <c r="D89">
        <f>B89*D$1</f>
        <v>500</v>
      </c>
      <c r="E89">
        <f>C89*E$1</f>
        <v>760</v>
      </c>
      <c r="F89">
        <f t="shared" si="6"/>
        <v>1260</v>
      </c>
      <c r="G89">
        <f t="shared" si="8"/>
        <v>20</v>
      </c>
      <c r="I89" cm="1">
        <f t="array" ref="I89">powerCalc3($A89,0,1)</f>
        <v>1</v>
      </c>
      <c r="J89" cm="1">
        <f t="array" ref="J89">powerCalc3($A89,1,1)</f>
        <v>0.82000000000000006</v>
      </c>
      <c r="K89">
        <f t="shared" si="9"/>
        <v>500</v>
      </c>
      <c r="L89">
        <f>J89*L$1</f>
        <v>820.00000000000011</v>
      </c>
      <c r="M89">
        <f t="shared" si="7"/>
        <v>1320</v>
      </c>
      <c r="N89">
        <f t="shared" si="10"/>
        <v>15</v>
      </c>
    </row>
    <row r="90" spans="1:14" x14ac:dyDescent="0.25">
      <c r="A90">
        <v>0.89</v>
      </c>
      <c r="B90" cm="1">
        <f t="array" ref="B90">powerCalc2($A90,0,0)</f>
        <v>1</v>
      </c>
      <c r="C90" cm="1">
        <f t="array" ref="C90">powerCalc2($A90,1,0)</f>
        <v>0.78</v>
      </c>
      <c r="D90">
        <f>B90*D$1</f>
        <v>500</v>
      </c>
      <c r="E90">
        <f>C90*E$1</f>
        <v>780</v>
      </c>
      <c r="F90">
        <f t="shared" si="6"/>
        <v>1280</v>
      </c>
      <c r="G90">
        <f t="shared" si="8"/>
        <v>20</v>
      </c>
      <c r="I90" cm="1">
        <f t="array" ref="I90">powerCalc3($A90,0,1)</f>
        <v>1</v>
      </c>
      <c r="J90" cm="1">
        <f t="array" ref="J90">powerCalc3($A90,1,1)</f>
        <v>0.83500000000000008</v>
      </c>
      <c r="K90">
        <f t="shared" si="9"/>
        <v>500</v>
      </c>
      <c r="L90">
        <f>J90*L$1</f>
        <v>835.00000000000011</v>
      </c>
      <c r="M90">
        <f t="shared" si="7"/>
        <v>1335</v>
      </c>
      <c r="N90">
        <f t="shared" si="10"/>
        <v>15</v>
      </c>
    </row>
    <row r="91" spans="1:14" x14ac:dyDescent="0.25">
      <c r="A91">
        <v>0.9</v>
      </c>
      <c r="B91" cm="1">
        <f t="array" ref="B91">powerCalc2($A91,0,0)</f>
        <v>1</v>
      </c>
      <c r="C91" cm="1">
        <f t="array" ref="C91">powerCalc2($A91,1,0)</f>
        <v>0.8</v>
      </c>
      <c r="D91">
        <f>B91*D$1</f>
        <v>500</v>
      </c>
      <c r="E91">
        <f>C91*E$1</f>
        <v>800</v>
      </c>
      <c r="F91">
        <f t="shared" si="6"/>
        <v>1300</v>
      </c>
      <c r="G91">
        <f t="shared" si="8"/>
        <v>20</v>
      </c>
      <c r="I91" cm="1">
        <f t="array" ref="I91">powerCalc3($A91,0,1)</f>
        <v>1</v>
      </c>
      <c r="J91" cm="1">
        <f t="array" ref="J91">powerCalc3($A91,1,1)</f>
        <v>0.85000000000000009</v>
      </c>
      <c r="K91">
        <f t="shared" si="9"/>
        <v>500</v>
      </c>
      <c r="L91">
        <f>J91*L$1</f>
        <v>850.00000000000011</v>
      </c>
      <c r="M91">
        <f t="shared" si="7"/>
        <v>1350</v>
      </c>
      <c r="N91">
        <f t="shared" si="10"/>
        <v>15</v>
      </c>
    </row>
    <row r="92" spans="1:14" x14ac:dyDescent="0.25">
      <c r="A92">
        <v>0.91</v>
      </c>
      <c r="B92" cm="1">
        <f t="array" ref="B92">powerCalc2($A92,0,0)</f>
        <v>1</v>
      </c>
      <c r="C92" cm="1">
        <f t="array" ref="C92">powerCalc2($A92,1,0)</f>
        <v>0.82000000000000006</v>
      </c>
      <c r="D92">
        <f>B92*D$1</f>
        <v>500</v>
      </c>
      <c r="E92">
        <f>C92*E$1</f>
        <v>820.00000000000011</v>
      </c>
      <c r="F92">
        <f t="shared" si="6"/>
        <v>1320</v>
      </c>
      <c r="G92">
        <f t="shared" si="8"/>
        <v>20</v>
      </c>
      <c r="I92" cm="1">
        <f t="array" ref="I92">powerCalc3($A92,0,1)</f>
        <v>1</v>
      </c>
      <c r="J92" cm="1">
        <f t="array" ref="J92">powerCalc3($A92,1,1)</f>
        <v>0.8650000000000001</v>
      </c>
      <c r="K92">
        <f t="shared" si="9"/>
        <v>500</v>
      </c>
      <c r="L92">
        <f>J92*L$1</f>
        <v>865.00000000000011</v>
      </c>
      <c r="M92">
        <f t="shared" si="7"/>
        <v>1365</v>
      </c>
      <c r="N92">
        <f t="shared" si="10"/>
        <v>15</v>
      </c>
    </row>
    <row r="93" spans="1:14" x14ac:dyDescent="0.25">
      <c r="A93">
        <v>0.92</v>
      </c>
      <c r="B93" cm="1">
        <f t="array" ref="B93">powerCalc2($A93,0,0)</f>
        <v>1</v>
      </c>
      <c r="C93" cm="1">
        <f t="array" ref="C93">powerCalc2($A93,1,0)</f>
        <v>0.84000000000000008</v>
      </c>
      <c r="D93">
        <f>B93*D$1</f>
        <v>500</v>
      </c>
      <c r="E93">
        <f>C93*E$1</f>
        <v>840.00000000000011</v>
      </c>
      <c r="F93">
        <f t="shared" si="6"/>
        <v>1340</v>
      </c>
      <c r="G93">
        <f t="shared" si="8"/>
        <v>20</v>
      </c>
      <c r="I93" cm="1">
        <f t="array" ref="I93">powerCalc3($A93,0,1)</f>
        <v>1</v>
      </c>
      <c r="J93" cm="1">
        <f t="array" ref="J93">powerCalc3($A93,1,1)</f>
        <v>0.88000000000000012</v>
      </c>
      <c r="K93">
        <f t="shared" si="9"/>
        <v>500</v>
      </c>
      <c r="L93">
        <f>J93*L$1</f>
        <v>880.00000000000011</v>
      </c>
      <c r="M93">
        <f t="shared" si="7"/>
        <v>1380</v>
      </c>
      <c r="N93">
        <f t="shared" si="10"/>
        <v>15</v>
      </c>
    </row>
    <row r="94" spans="1:14" x14ac:dyDescent="0.25">
      <c r="A94">
        <v>0.93</v>
      </c>
      <c r="B94" cm="1">
        <f t="array" ref="B94">powerCalc2($A94,0,0)</f>
        <v>1</v>
      </c>
      <c r="C94" cm="1">
        <f t="array" ref="C94">powerCalc2($A94,1,0)</f>
        <v>0.8600000000000001</v>
      </c>
      <c r="D94">
        <f>B94*D$1</f>
        <v>500</v>
      </c>
      <c r="E94">
        <f>C94*E$1</f>
        <v>860.00000000000011</v>
      </c>
      <c r="F94">
        <f t="shared" si="6"/>
        <v>1360</v>
      </c>
      <c r="G94">
        <f t="shared" si="8"/>
        <v>20</v>
      </c>
      <c r="I94" cm="1">
        <f t="array" ref="I94">powerCalc3($A94,0,1)</f>
        <v>1</v>
      </c>
      <c r="J94" cm="1">
        <f t="array" ref="J94">powerCalc3($A94,1,1)</f>
        <v>0.89500000000000013</v>
      </c>
      <c r="K94">
        <f t="shared" si="9"/>
        <v>500</v>
      </c>
      <c r="L94">
        <f>J94*L$1</f>
        <v>895.00000000000011</v>
      </c>
      <c r="M94">
        <f t="shared" si="7"/>
        <v>1395</v>
      </c>
      <c r="N94">
        <f t="shared" si="10"/>
        <v>15</v>
      </c>
    </row>
    <row r="95" spans="1:14" x14ac:dyDescent="0.25">
      <c r="A95">
        <v>0.94</v>
      </c>
      <c r="B95" cm="1">
        <f t="array" ref="B95">powerCalc2($A95,0,0)</f>
        <v>1</v>
      </c>
      <c r="C95" cm="1">
        <f t="array" ref="C95">powerCalc2($A95,1,0)</f>
        <v>0.87999999999999989</v>
      </c>
      <c r="D95">
        <f>B95*D$1</f>
        <v>500</v>
      </c>
      <c r="E95">
        <f>C95*E$1</f>
        <v>879.99999999999989</v>
      </c>
      <c r="F95">
        <f t="shared" si="6"/>
        <v>1380</v>
      </c>
      <c r="G95">
        <f t="shared" si="8"/>
        <v>20</v>
      </c>
      <c r="I95" cm="1">
        <f t="array" ref="I95">powerCalc3($A95,0,1)</f>
        <v>1</v>
      </c>
      <c r="J95" cm="1">
        <f t="array" ref="J95">powerCalc3($A95,1,1)</f>
        <v>0.90999999999999992</v>
      </c>
      <c r="K95">
        <f t="shared" si="9"/>
        <v>500</v>
      </c>
      <c r="L95">
        <f>J95*L$1</f>
        <v>909.99999999999989</v>
      </c>
      <c r="M95">
        <f t="shared" si="7"/>
        <v>1410</v>
      </c>
      <c r="N95">
        <f t="shared" si="10"/>
        <v>15</v>
      </c>
    </row>
    <row r="96" spans="1:14" x14ac:dyDescent="0.25">
      <c r="A96">
        <v>0.95</v>
      </c>
      <c r="B96" cm="1">
        <f t="array" ref="B96">powerCalc2($A96,0,0)</f>
        <v>1</v>
      </c>
      <c r="C96" cm="1">
        <f t="array" ref="C96">powerCalc2($A96,1,0)</f>
        <v>0.89999999999999991</v>
      </c>
      <c r="D96">
        <f>B96*D$1</f>
        <v>500</v>
      </c>
      <c r="E96">
        <f>C96*E$1</f>
        <v>899.99999999999989</v>
      </c>
      <c r="F96">
        <f t="shared" si="6"/>
        <v>1400</v>
      </c>
      <c r="G96">
        <f t="shared" si="8"/>
        <v>20</v>
      </c>
      <c r="I96" cm="1">
        <f t="array" ref="I96">powerCalc3($A96,0,1)</f>
        <v>1</v>
      </c>
      <c r="J96" cm="1">
        <f t="array" ref="J96">powerCalc3($A96,1,1)</f>
        <v>0.92499999999999993</v>
      </c>
      <c r="K96">
        <f t="shared" si="9"/>
        <v>500</v>
      </c>
      <c r="L96">
        <f>J96*L$1</f>
        <v>924.99999999999989</v>
      </c>
      <c r="M96">
        <f t="shared" si="7"/>
        <v>1425</v>
      </c>
      <c r="N96">
        <f t="shared" si="10"/>
        <v>15</v>
      </c>
    </row>
    <row r="97" spans="1:14" x14ac:dyDescent="0.25">
      <c r="A97">
        <v>0.96</v>
      </c>
      <c r="B97" cm="1">
        <f t="array" ref="B97">powerCalc2($A97,0,0)</f>
        <v>1</v>
      </c>
      <c r="C97" cm="1">
        <f t="array" ref="C97">powerCalc2($A97,1,0)</f>
        <v>0.91999999999999993</v>
      </c>
      <c r="D97">
        <f>B97*D$1</f>
        <v>500</v>
      </c>
      <c r="E97">
        <f>C97*E$1</f>
        <v>919.99999999999989</v>
      </c>
      <c r="F97">
        <f t="shared" si="6"/>
        <v>1420</v>
      </c>
      <c r="G97">
        <f t="shared" si="8"/>
        <v>20</v>
      </c>
      <c r="I97" cm="1">
        <f t="array" ref="I97">powerCalc3($A97,0,1)</f>
        <v>1</v>
      </c>
      <c r="J97" cm="1">
        <f t="array" ref="J97">powerCalc3($A97,1,1)</f>
        <v>0.94</v>
      </c>
      <c r="K97">
        <f t="shared" si="9"/>
        <v>500</v>
      </c>
      <c r="L97">
        <f>J97*L$1</f>
        <v>940</v>
      </c>
      <c r="M97">
        <f t="shared" si="7"/>
        <v>1440</v>
      </c>
      <c r="N97">
        <f t="shared" si="10"/>
        <v>15</v>
      </c>
    </row>
    <row r="98" spans="1:14" x14ac:dyDescent="0.25">
      <c r="A98">
        <v>0.97</v>
      </c>
      <c r="B98" cm="1">
        <f t="array" ref="B98">powerCalc2($A98,0,0)</f>
        <v>1</v>
      </c>
      <c r="C98" cm="1">
        <f t="array" ref="C98">powerCalc2($A98,1,0)</f>
        <v>0.94</v>
      </c>
      <c r="D98">
        <f>B98*D$1</f>
        <v>500</v>
      </c>
      <c r="E98">
        <f>C98*E$1</f>
        <v>940</v>
      </c>
      <c r="F98">
        <f t="shared" si="6"/>
        <v>1440</v>
      </c>
      <c r="G98">
        <f t="shared" si="8"/>
        <v>20</v>
      </c>
      <c r="I98" cm="1">
        <f t="array" ref="I98">powerCalc3($A98,0,1)</f>
        <v>1</v>
      </c>
      <c r="J98" cm="1">
        <f t="array" ref="J98">powerCalc3($A98,1,1)</f>
        <v>0.95499999999999996</v>
      </c>
      <c r="K98">
        <f t="shared" si="9"/>
        <v>500</v>
      </c>
      <c r="L98">
        <f>J98*L$1</f>
        <v>955</v>
      </c>
      <c r="M98">
        <f t="shared" si="7"/>
        <v>1455</v>
      </c>
      <c r="N98">
        <f t="shared" si="10"/>
        <v>15</v>
      </c>
    </row>
    <row r="99" spans="1:14" x14ac:dyDescent="0.25">
      <c r="A99">
        <v>0.98</v>
      </c>
      <c r="B99" cm="1">
        <f t="array" ref="B99">powerCalc2($A99,0,0)</f>
        <v>1</v>
      </c>
      <c r="C99" cm="1">
        <f t="array" ref="C99">powerCalc2($A99,1,0)</f>
        <v>0.96</v>
      </c>
      <c r="D99">
        <f>B99*D$1</f>
        <v>500</v>
      </c>
      <c r="E99">
        <f>C99*E$1</f>
        <v>960</v>
      </c>
      <c r="F99">
        <f t="shared" si="6"/>
        <v>1460</v>
      </c>
      <c r="G99">
        <f t="shared" si="8"/>
        <v>20</v>
      </c>
      <c r="I99" cm="1">
        <f t="array" ref="I99">powerCalc3($A99,0,1)</f>
        <v>1</v>
      </c>
      <c r="J99" cm="1">
        <f t="array" ref="J99">powerCalc3($A99,1,1)</f>
        <v>0.97</v>
      </c>
      <c r="K99">
        <f t="shared" si="9"/>
        <v>500</v>
      </c>
      <c r="L99">
        <f>J99*L$1</f>
        <v>970</v>
      </c>
      <c r="M99">
        <f t="shared" si="7"/>
        <v>1470</v>
      </c>
      <c r="N99">
        <f t="shared" si="10"/>
        <v>15</v>
      </c>
    </row>
    <row r="100" spans="1:14" x14ac:dyDescent="0.25">
      <c r="A100">
        <v>0.99</v>
      </c>
      <c r="B100" cm="1">
        <f t="array" ref="B100">powerCalc2($A100,0,0)</f>
        <v>1</v>
      </c>
      <c r="C100" cm="1">
        <f t="array" ref="C100">powerCalc2($A100,1,0)</f>
        <v>0.98</v>
      </c>
      <c r="D100">
        <f>B100*D$1</f>
        <v>500</v>
      </c>
      <c r="E100">
        <f>C100*E$1</f>
        <v>980</v>
      </c>
      <c r="F100">
        <f t="shared" si="6"/>
        <v>1480</v>
      </c>
      <c r="G100">
        <f t="shared" si="8"/>
        <v>20</v>
      </c>
      <c r="I100" cm="1">
        <f t="array" ref="I100">powerCalc3($A100,0,1)</f>
        <v>1</v>
      </c>
      <c r="J100" cm="1">
        <f t="array" ref="J100">powerCalc3($A100,1,1)</f>
        <v>0.98499999999999999</v>
      </c>
      <c r="K100">
        <f t="shared" si="9"/>
        <v>500</v>
      </c>
      <c r="L100">
        <f>J100*L$1</f>
        <v>985</v>
      </c>
      <c r="M100">
        <f t="shared" si="7"/>
        <v>1485</v>
      </c>
      <c r="N100">
        <f t="shared" si="10"/>
        <v>15</v>
      </c>
    </row>
    <row r="101" spans="1:14" x14ac:dyDescent="0.25">
      <c r="A101">
        <v>1</v>
      </c>
      <c r="B101" cm="1">
        <f t="array" ref="B101">powerCalc2($A101,0,0)</f>
        <v>1</v>
      </c>
      <c r="C101" cm="1">
        <f t="array" ref="C101">powerCalc2($A101,1,0)</f>
        <v>1</v>
      </c>
      <c r="D101">
        <f>B101*D$1</f>
        <v>500</v>
      </c>
      <c r="E101">
        <f>C101*E$1</f>
        <v>1000</v>
      </c>
      <c r="F101">
        <f t="shared" si="6"/>
        <v>1500</v>
      </c>
      <c r="G101">
        <f t="shared" si="8"/>
        <v>20</v>
      </c>
      <c r="I101" cm="1">
        <f t="array" ref="I101">powerCalc3($A101,0,1)</f>
        <v>1</v>
      </c>
      <c r="J101" cm="1">
        <f t="array" ref="J101">powerCalc3($A101,1,1)</f>
        <v>1</v>
      </c>
      <c r="K101">
        <f t="shared" si="9"/>
        <v>500</v>
      </c>
      <c r="L101">
        <f>J101*L$1</f>
        <v>1000</v>
      </c>
      <c r="M101">
        <f t="shared" si="7"/>
        <v>1500</v>
      </c>
      <c r="N101">
        <f t="shared" si="10"/>
        <v>15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6095D-3F95-4896-96DE-0D7C504FFEBF}">
  <sheetPr codeName="Munka2"/>
  <dimension ref="A1:B5"/>
  <sheetViews>
    <sheetView workbookViewId="0">
      <selection activeCell="B4" sqref="B4"/>
    </sheetView>
  </sheetViews>
  <sheetFormatPr defaultRowHeight="15" x14ac:dyDescent="0.25"/>
  <sheetData>
    <row r="1" spans="1:2" x14ac:dyDescent="0.25">
      <c r="A1" t="s">
        <v>3</v>
      </c>
      <c r="B1">
        <v>0</v>
      </c>
    </row>
    <row r="2" spans="1:2" x14ac:dyDescent="0.25">
      <c r="A2" t="s">
        <v>4</v>
      </c>
      <c r="B2">
        <f>15*60</f>
        <v>900</v>
      </c>
    </row>
    <row r="3" spans="1:2" x14ac:dyDescent="0.25">
      <c r="A3" t="s">
        <v>0</v>
      </c>
      <c r="B3">
        <v>0.75</v>
      </c>
    </row>
    <row r="4" spans="1:2" x14ac:dyDescent="0.25">
      <c r="A4" t="s">
        <v>6</v>
      </c>
      <c r="B4" cm="1">
        <f t="array" ref="B4">mapfloat(B3,1,0,0,B2/2)</f>
        <v>112.5</v>
      </c>
    </row>
    <row r="5" spans="1:2" x14ac:dyDescent="0.25">
      <c r="A5" t="s">
        <v>5</v>
      </c>
      <c r="B5">
        <f>B1-((B2/2)+B4)</f>
        <v>-562.5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Munka1</vt:lpstr>
      <vt:lpstr>Munka2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Ványi-Dajka Éva</dc:creator>
  <cp:lastModifiedBy>Ványi-Dajka Éva</cp:lastModifiedBy>
  <dcterms:created xsi:type="dcterms:W3CDTF">2020-02-15T13:19:17Z</dcterms:created>
  <dcterms:modified xsi:type="dcterms:W3CDTF">2020-02-15T22:15:51Z</dcterms:modified>
</cp:coreProperties>
</file>